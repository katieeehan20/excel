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pivotTables/pivotTable11.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601" windowHeight="8474" tabRatio="688"/>
  </bookViews>
  <sheets>
    <sheet name="Start here" sheetId="2" r:id="rId1"/>
    <sheet name="How to create a Pivot Table" sheetId="3" r:id="rId2"/>
    <sheet name="How to use a Pivot Table" sheetId="16" r:id="rId3"/>
    <sheet name="Sorting and filtering" sheetId="17" r:id="rId4"/>
    <sheet name="Formatting your Pivot Table" sheetId="18" r:id="rId5"/>
    <sheet name="Pivot Charts" sheetId="19" r:id="rId6"/>
    <sheet name="Thank you" sheetId="20" r:id="rId7"/>
    <sheet name="AnswerOptions" sheetId="4" state="hidden" r:id="rId8"/>
    <sheet name="Source data" sheetId="14" state="hidden" r:id="rId9"/>
  </sheets>
  <definedNames>
    <definedName name="Slicer_Nearest_Manager">#N/A</definedName>
  </definedNames>
  <calcPr calcId="152511"/>
  <pivotCaches>
    <pivotCache cacheId="0" r:id="rId10"/>
    <pivotCache cacheId="1" r:id="rId11"/>
    <pivotCache cacheId="2"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2" i="16" l="1"/>
</calcChain>
</file>

<file path=xl/sharedStrings.xml><?xml version="1.0" encoding="utf-8"?>
<sst xmlns="http://schemas.openxmlformats.org/spreadsheetml/2006/main" count="600" uniqueCount="171">
  <si>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</si>
  <si>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</si>
  <si>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</si>
  <si>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</si>
  <si>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</si>
  <si>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</si>
  <si>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</si>
  <si>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</si>
  <si>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</si>
  <si>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</si>
  <si>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</si>
  <si>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</si>
  <si>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</si>
  <si>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</si>
  <si>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</si>
  <si>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</si>
  <si>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</si>
  <si>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</si>
  <si>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</si>
  <si>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</si>
  <si>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</si>
  <si>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</si>
  <si>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</si>
  <si>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</si>
  <si>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</si>
  <si>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</si>
  <si>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</si>
  <si>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</si>
  <si>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</si>
  <si>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</si>
  <si>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</si>
  <si>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</si>
  <si>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</si>
  <si>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</si>
  <si>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</si>
  <si>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</si>
  <si>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</si>
  <si>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</si>
  <si>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</si>
  <si>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</si>
  <si>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</si>
  <si>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</si>
  <si>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</si>
  <si>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</si>
  <si>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</si>
  <si>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</si>
  <si>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</si>
  <si>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</si>
  <si>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</si>
  <si>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</si>
  <si>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</si>
  <si>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</si>
  <si>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</si>
  <si>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Dateset2</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</si>
  <si>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</si>
  <si>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</si>
  <si>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</si>
  <si>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</si>
  <si>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</si>
  <si>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</si>
  <si>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</si>
  <si>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</si>
  <si>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</si>
  <si>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</si>
  <si>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</si>
  <si>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</si>
  <si>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</si>
  <si>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</si>
  <si>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</si>
  <si>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</si>
  <si>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</si>
  <si>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</si>
  <si>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</si>
  <si>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</si>
  <si>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</si>
  <si>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</si>
  <si>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</si>
  <si>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</si>
  <si>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</si>
  <si>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</si>
  <si>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</si>
  <si>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</si>
  <si>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</si>
  <si>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</si>
  <si>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</si>
  <si>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</si>
  <si>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</si>
  <si>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</si>
  <si>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</si>
  <si>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</si>
  <si>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</si>
  <si>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</si>
  <si>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</si>
  <si>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</si>
  <si>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</si>
  <si>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</si>
  <si>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</si>
  <si>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</si>
  <si>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</si>
  <si>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</si>
  <si>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</si>
  <si>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</si>
  <si>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</si>
  <si>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</si>
  <si>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</si>
  <si>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</si>
  <si>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</si>
  <si>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</si>
  <si>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</si>
  <si>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</si>
  <si>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</si>
  <si>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</si>
  <si>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</si>
  <si>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</si>
  <si>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</si>
  <si>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</si>
  <si>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</si>
  <si>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</si>
  <si>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</si>
  <si>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</si>
  <si>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</si>
  <si>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</si>
  <si>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</si>
  <si>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</si>
  <si>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Arrange it so it shows the total salery for each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</si>
  <si>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</si>
  <si>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</si>
  <si>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</si>
  <si>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</si>
  <si>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</si>
  <si>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</si>
  <si>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</si>
  <si>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</si>
  <si>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</si>
  <si>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</si>
  <si>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</si>
  <si>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</si>
  <si>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</si>
  <si>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</si>
  <si>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</si>
  <si>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</si>
  <si>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</si>
  <si>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</si>
  <si>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</si>
  <si>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</si>
  <si>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</si>
  <si>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</si>
  <si>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</si>
  <si>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</si>
  <si>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</si>
  <si>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</si>
  <si>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</si>
  <si>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</si>
  <si>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</si>
  <si>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</si>
  <si>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</si>
  <si>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(blank)</t>
  </si>
  <si>
    <t>Average of Salary</t>
  </si>
  <si>
    <t xml:space="preserve">1) </t>
  </si>
  <si>
    <t>Column Labels</t>
  </si>
  <si>
    <t>Human Resources</t>
  </si>
  <si>
    <t>Marketing Total</t>
  </si>
  <si>
    <t>Production Total</t>
  </si>
  <si>
    <t>Sales Total</t>
  </si>
  <si>
    <t>Elly Kam Total</t>
  </si>
  <si>
    <t>Human Resources Total</t>
  </si>
  <si>
    <t>IT Total</t>
  </si>
  <si>
    <t>Scott Joyce Total</t>
  </si>
  <si>
    <t>1) , 2),  3),  4)</t>
  </si>
  <si>
    <t>1) Pivot Chart , 2) arranged it so that each employee salary doesn't show  , 3) sorted in a descending order  , 4) filtering out 3 departments</t>
  </si>
  <si>
    <t>For answers please scroll to the right…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</si>
</sst>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409]* #,##0_ ;_-[$$-409]* \-#,##0\ ;_-[$$-409]* &quot;-&quot;_ ;_-@_ "/>
  </numFmts>
  <fonts count="15"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s>
  <fills count="7">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
      <patternFill patternType="solid">
        <fgColor theme="4" tint="0.79998168889431442"/>
        <bgColor theme="4" tint="0.79998168889431442"/>
      </patternFill>
    </fill>
    <fill>
      <patternFill patternType="solid">
        <fgColor rgb="FFFFFF00"/>
        <bgColor indexed="64"/>
      </patternFill>
    </fill>
  </fills>
  <borders count="2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
      <left/>
      <right/>
      <top/>
      <bottom style="thin">
        <color theme="4" tint="0.39997558519241921"/>
      </bottom>
      <diagonal/>
    </border>
    <border>
      <left/>
      <right/>
      <top style="thin">
        <color theme="4" tint="0.39997558519241921"/>
      </top>
      <bottom/>
      <diagonal/>
    </border>
  </borders>
  <cellStyleXfs count="3">
    <xf numFmtId="0" fontId="0" fillId="0" borderId="0"/>
    <xf numFmtId="0" fontId="2" fillId="0" borderId="0" applyNumberFormat="0" applyFill="0" applyBorder="0" applyAlignment="0" applyProtection="0"/>
    <xf numFmtId="0" fontId="11" fillId="0" borderId="0"/>
  </cellStyleXfs>
  <cellXfs count="7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0" fontId="0" fillId="0" borderId="0" xfId="0" applyAlignment="1">
      <alignment horizontal="left" indent="2"/>
    </xf>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0" fontId="10" fillId="5" borderId="21" xfId="0" applyFont="1" applyFill="1" applyBorder="1"/>
    <xf numFmtId="0" fontId="10" fillId="5" borderId="22" xfId="0" applyFont="1" applyFill="1" applyBorder="1" applyAlignment="1">
      <alignment horizontal="left"/>
    </xf>
    <xf numFmtId="0" fontId="10" fillId="5" borderId="22" xfId="0" applyNumberFormat="1" applyFont="1" applyFill="1" applyBorder="1"/>
    <xf numFmtId="0" fontId="10" fillId="0" borderId="21" xfId="0" applyFont="1" applyBorder="1" applyAlignment="1">
      <alignment horizontal="left"/>
    </xf>
    <xf numFmtId="0" fontId="10" fillId="0" borderId="21" xfId="0" applyNumberFormat="1" applyFont="1" applyBorder="1"/>
    <xf numFmtId="4" fontId="0" fillId="0" borderId="0" xfId="0" pivotButton="1" applyNumberFormat="1"/>
    <xf numFmtId="4" fontId="1" fillId="0" borderId="0" xfId="0" applyNumberFormat="1" applyFont="1"/>
    <xf numFmtId="4" fontId="0" fillId="0" borderId="0" xfId="0" applyNumberFormat="1"/>
    <xf numFmtId="0" fontId="1" fillId="6" borderId="0" xfId="0" applyFont="1" applyFill="1"/>
    <xf numFmtId="0" fontId="1" fillId="6" borderId="0" xfId="0" applyFont="1" applyFill="1" applyAlignment="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cellXfs>
  <cellStyles count="3">
    <cellStyle name="Hyperlink" xfId="1" builtinId="8"/>
    <cellStyle name="Normal" xfId="0" builtinId="0"/>
    <cellStyle name="Normal 2" xfId="2"/>
  </cellStyles>
  <dxfs count="114">
    <dxf>
      <numFmt numFmtId="3" formatCode="#,##0"/>
    </dxf>
    <dxf>
      <numFmt numFmtId="1" formatCode="0"/>
    </dxf>
    <dxf>
      <numFmt numFmtId="165" formatCode="0.0"/>
    </dxf>
    <dxf>
      <numFmt numFmtId="2" formatCode="0.00"/>
    </dxf>
    <dxf>
      <numFmt numFmtId="166" formatCode="0.000"/>
    </dxf>
    <dxf>
      <numFmt numFmtId="167" formatCode="0.0000"/>
    </dxf>
    <dxf>
      <numFmt numFmtId="4" formatCode="#,##0.00"/>
    </dxf>
    <dxf>
      <numFmt numFmtId="4" formatCode="#,##0.00"/>
    </dxf>
    <dxf>
      <numFmt numFmtId="4" formatCode="#,##0.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4" formatCode="#,##0.00"/>
    </dxf>
    <dxf>
      <numFmt numFmtId="4" formatCode="#,##0.00"/>
    </dxf>
    <dxf>
      <numFmt numFmtId="4" formatCode="#,##0.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[excel_pivot table_exercise.xlsm]Pivot Charts!PivotTable4</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stacked"/>
        <c:varyColors val="0"/>
        <c:ser>
          <c:idx val="0"/>
          <c:order val="0"/>
          <c:tx>
            <c:strRef>
              <c:f>'Pivot Charts'!$J$7</c:f>
              <c:strCache>
                <c:ptCount val="1"/>
                <c:pt idx="0">
                  <c:v>Total</c:v>
                </c:pt>
              </c:strCache>
            </c:strRef>
          </c:tx>
          <c:spPr>
            <a:solidFill>
              <a:schemeClr val="accent1"/>
            </a:solidFill>
            <a:ln>
              <a:noFill/>
            </a:ln>
            <a:effectLst/>
          </c:spPr>
          <c:invertIfNegative val="0"/>
          <c:cat>
            <c:strRef>
              <c:f>'Pivot Charts'!$I$8:$I$12</c:f>
              <c:strCache>
                <c:ptCount val="4"/>
                <c:pt idx="0">
                  <c:v>Sales</c:v>
                </c:pt>
                <c:pt idx="1">
                  <c:v>Adm</c:v>
                </c:pt>
                <c:pt idx="2">
                  <c:v>Marketing</c:v>
                </c:pt>
                <c:pt idx="3">
                  <c:v>Accounting</c:v>
                </c:pt>
              </c:strCache>
            </c:strRef>
          </c:cat>
          <c:val>
            <c:numRef>
              <c:f>'Pivot Charts'!$J$8:$J$12</c:f>
              <c:numCache>
                <c:formatCode>#,##0</c:formatCode>
                <c:ptCount val="4"/>
                <c:pt idx="0">
                  <c:v>771000</c:v>
                </c:pt>
                <c:pt idx="1">
                  <c:v>362000</c:v>
                </c:pt>
                <c:pt idx="2">
                  <c:v>254000</c:v>
                </c:pt>
                <c:pt idx="3">
                  <c:v>211000</c:v>
                </c:pt>
              </c:numCache>
            </c:numRef>
          </c:val>
        </c:ser>
        <c:dLbls>
          <c:showLegendKey val="0"/>
          <c:showVal val="0"/>
          <c:showCatName val="0"/>
          <c:showSerName val="0"/>
          <c:showPercent val="0"/>
          <c:showBubbleSize val="0"/>
        </c:dLbls>
        <c:gapWidth val="150"/>
        <c:overlap val="100"/>
        <c:axId val="369035448"/>
        <c:axId val="369029568"/>
      </c:barChart>
      <c:catAx>
        <c:axId val="369035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029568"/>
        <c:crosses val="autoZero"/>
        <c:auto val="1"/>
        <c:lblAlgn val="ctr"/>
        <c:lblOffset val="100"/>
        <c:noMultiLvlLbl val="0"/>
      </c:catAx>
      <c:valAx>
        <c:axId val="369029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035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xmlns=""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xmlns=""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xmlns=""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xmlns=""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xmlns=""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xmlns=""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xmlns=""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xmlns=""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xmlns=""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xmlns=""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editAs="oneCell">
    <xdr:from>
      <xdr:col>15</xdr:col>
      <xdr:colOff>55098</xdr:colOff>
      <xdr:row>6</xdr:row>
      <xdr:rowOff>26962</xdr:rowOff>
    </xdr:from>
    <xdr:to>
      <xdr:col>17</xdr:col>
      <xdr:colOff>459544</xdr:colOff>
      <xdr:row>20</xdr:row>
      <xdr:rowOff>11571</xdr:rowOff>
    </xdr:to>
    <mc:AlternateContent xmlns:mc="http://schemas.openxmlformats.org/markup-compatibility/2006" xmlns:a14="http://schemas.microsoft.com/office/drawing/2010/main">
      <mc:Choice Requires="a14">
        <xdr:graphicFrame macro="">
          <xdr:nvGraphicFramePr>
            <xdr:cNvPr id="6" name="Nearest Manager"/>
            <xdr:cNvGraphicFramePr/>
          </xdr:nvGraphicFramePr>
          <xdr:xfrm>
            <a:off x="0" y="0"/>
            <a:ext cx="0" cy="0"/>
          </xdr:xfrm>
          <a:graphic>
            <a:graphicData uri="http://schemas.microsoft.com/office/drawing/2010/slicer">
              <sle:slicer xmlns:sle="http://schemas.microsoft.com/office/drawing/2010/slicer" name="Nearest Manager"/>
            </a:graphicData>
          </a:graphic>
        </xdr:graphicFrame>
      </mc:Choice>
      <mc:Fallback xmlns="">
        <xdr:sp macro="" textlink="">
          <xdr:nvSpPr>
            <xdr:cNvPr id="0" name=""/>
            <xdr:cNvSpPr>
              <a:spLocks noTextEdit="1"/>
            </xdr:cNvSpPr>
          </xdr:nvSpPr>
          <xdr:spPr>
            <a:xfrm>
              <a:off x="16719452" y="1117208"/>
              <a:ext cx="1828800" cy="25285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xmlns=""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xmlns=""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xmlns=""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xmlns=""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xmlns=""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xmlns=""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xmlns=""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xmlns=""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xmlns=""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0</xdr:col>
      <xdr:colOff>627634</xdr:colOff>
      <xdr:row>21</xdr:row>
      <xdr:rowOff>0</xdr:rowOff>
    </xdr:from>
    <xdr:to>
      <xdr:col>6</xdr:col>
      <xdr:colOff>405799</xdr:colOff>
      <xdr:row>37</xdr:row>
      <xdr:rowOff>167731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xmlns=""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xmlns=""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excel_pivot%20table_exercise.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excel_pivot%20table_exercise.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uthor" refreshedDate="42662.528568287038" createdVersion="6" refreshedVersion="6" minRefreshableVersion="3" recordCount="52">
  <cacheSource type="worksheet">
    <worksheetSource ref="A1:D53" sheet="Source data" r:id="rId2"/>
  </cacheSource>
  <cacheFields count="5">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acheField>
    <cacheField name="Monthly salary of each employee" numFmtId="0" formula="Salary/12"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530.710518402775" createdVersion="5" refreshedVersion="5" minRefreshableVersion="3" recordCount="11">
  <cacheSource type="worksheet">
    <worksheetSource ref="C20:E31" sheet="How to create a Pivot Table" r:id="rId2"/>
  </cacheSource>
  <cacheFields count="3">
    <cacheField name="Full name" numFmtId="0">
      <sharedItems count="11">
        <s v="Abigail Aalderink"/>
        <s v="Sanford Bartolo"/>
        <s v="Samuel Bartnick"/>
        <s v="John Dumas"/>
        <s v="Kristi Hines"/>
        <s v="Apple Lyn"/>
        <s v="Lee Nazal"/>
        <s v="Lindsy Kline"/>
        <s v="Vicky James"/>
        <s v="Bradley Sack"/>
        <s v="Steven Lamar"/>
      </sharedItems>
    </cacheField>
    <cacheField name="Department" numFmtId="0">
      <sharedItems count="5">
        <s v="Sales"/>
        <s v="IT"/>
        <s v="Production"/>
        <s v="HR"/>
        <s v="Marketing"/>
      </sharedItems>
    </cacheField>
    <cacheField name="Salary" numFmtId="164">
      <sharedItems containsSemiMixedTypes="0" containsString="0" containsNumber="1" containsInteger="1" minValue="40000" maxValue="62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4530.717139930559" createdVersion="5" refreshedVersion="5" minRefreshableVersion="3" recordCount="16">
  <cacheSource type="worksheet">
    <worksheetSource ref="C20:E36" sheet="How to create a Pivot Table" r:id="rId2"/>
  </cacheSource>
  <cacheFields count="3">
    <cacheField name="Full name" numFmtId="0">
      <sharedItems containsBlank="1"/>
    </cacheField>
    <cacheField name="Department" numFmtId="0">
      <sharedItems containsBlank="1" count="7">
        <s v="Sales"/>
        <s v="IT"/>
        <s v="Production"/>
        <s v="HR"/>
        <s v="Marketing"/>
        <m/>
        <s v="Department"/>
      </sharedItems>
    </cacheField>
    <cacheField name="Salary" numFmtId="0">
      <sharedItems containsBlank="1" containsMixedTypes="1" containsNumber="1" containsInteger="1" minValue="40000" maxValue="62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2">
  <r>
    <x v="0"/>
    <x v="0"/>
    <x v="0"/>
    <n v="45000"/>
  </r>
  <r>
    <x v="1"/>
    <x v="0"/>
    <x v="0"/>
    <n v="59000"/>
  </r>
  <r>
    <x v="2"/>
    <x v="0"/>
    <x v="0"/>
    <n v="54000"/>
  </r>
  <r>
    <x v="3"/>
    <x v="1"/>
    <x v="1"/>
    <n v="44000"/>
  </r>
  <r>
    <x v="4"/>
    <x v="2"/>
    <x v="0"/>
    <n v="45000"/>
  </r>
  <r>
    <x v="5"/>
    <x v="1"/>
    <x v="1"/>
    <n v="47000"/>
  </r>
  <r>
    <x v="6"/>
    <x v="3"/>
    <x v="1"/>
    <n v="40000"/>
  </r>
  <r>
    <x v="7"/>
    <x v="4"/>
    <x v="0"/>
    <n v="59000"/>
  </r>
  <r>
    <x v="8"/>
    <x v="3"/>
    <x v="1"/>
    <n v="57000"/>
  </r>
  <r>
    <x v="9"/>
    <x v="1"/>
    <x v="1"/>
    <n v="42000"/>
  </r>
  <r>
    <x v="10"/>
    <x v="0"/>
    <x v="0"/>
    <n v="62000"/>
  </r>
  <r>
    <x v="11"/>
    <x v="1"/>
    <x v="1"/>
    <n v="63000"/>
  </r>
  <r>
    <x v="12"/>
    <x v="3"/>
    <x v="1"/>
    <n v="61000"/>
  </r>
  <r>
    <x v="13"/>
    <x v="5"/>
    <x v="1"/>
    <n v="41000"/>
  </r>
  <r>
    <x v="14"/>
    <x v="3"/>
    <x v="1"/>
    <n v="45000"/>
  </r>
  <r>
    <x v="15"/>
    <x v="1"/>
    <x v="1"/>
    <n v="59000"/>
  </r>
  <r>
    <x v="16"/>
    <x v="0"/>
    <x v="0"/>
    <n v="56000"/>
  </r>
  <r>
    <x v="17"/>
    <x v="0"/>
    <x v="0"/>
    <n v="53000"/>
  </r>
  <r>
    <x v="18"/>
    <x v="4"/>
    <x v="0"/>
    <n v="47000"/>
  </r>
  <r>
    <x v="19"/>
    <x v="5"/>
    <x v="1"/>
    <n v="57000"/>
  </r>
  <r>
    <x v="20"/>
    <x v="0"/>
    <x v="0"/>
    <n v="42000"/>
  </r>
  <r>
    <x v="21"/>
    <x v="5"/>
    <x v="1"/>
    <n v="52000"/>
  </r>
  <r>
    <x v="22"/>
    <x v="0"/>
    <x v="0"/>
    <n v="58000"/>
  </r>
  <r>
    <x v="23"/>
    <x v="2"/>
    <x v="0"/>
    <n v="41000"/>
  </r>
  <r>
    <x v="24"/>
    <x v="2"/>
    <x v="0"/>
    <n v="56000"/>
  </r>
  <r>
    <x v="25"/>
    <x v="0"/>
    <x v="0"/>
    <n v="57000"/>
  </r>
  <r>
    <x v="26"/>
    <x v="5"/>
    <x v="1"/>
    <n v="63000"/>
  </r>
  <r>
    <x v="27"/>
    <x v="6"/>
    <x v="1"/>
    <n v="60000"/>
  </r>
  <r>
    <x v="28"/>
    <x v="6"/>
    <x v="1"/>
    <n v="48000"/>
  </r>
  <r>
    <x v="29"/>
    <x v="5"/>
    <x v="1"/>
    <n v="42000"/>
  </r>
  <r>
    <x v="30"/>
    <x v="2"/>
    <x v="0"/>
    <n v="63000"/>
  </r>
  <r>
    <x v="31"/>
    <x v="1"/>
    <x v="1"/>
    <n v="50000"/>
  </r>
  <r>
    <x v="32"/>
    <x v="3"/>
    <x v="1"/>
    <n v="47000"/>
  </r>
  <r>
    <x v="33"/>
    <x v="0"/>
    <x v="0"/>
    <n v="63000"/>
  </r>
  <r>
    <x v="34"/>
    <x v="4"/>
    <x v="0"/>
    <n v="55000"/>
  </r>
  <r>
    <x v="35"/>
    <x v="4"/>
    <x v="0"/>
    <n v="51000"/>
  </r>
  <r>
    <x v="36"/>
    <x v="0"/>
    <x v="0"/>
    <n v="40000"/>
  </r>
  <r>
    <x v="37"/>
    <x v="0"/>
    <x v="0"/>
    <n v="65000"/>
  </r>
  <r>
    <x v="38"/>
    <x v="1"/>
    <x v="1"/>
    <n v="61000"/>
  </r>
  <r>
    <x v="23"/>
    <x v="2"/>
    <x v="0"/>
    <n v="43000"/>
  </r>
  <r>
    <x v="39"/>
    <x v="2"/>
    <x v="0"/>
    <n v="55000"/>
  </r>
  <r>
    <x v="40"/>
    <x v="6"/>
    <x v="1"/>
    <n v="40000"/>
  </r>
  <r>
    <x v="41"/>
    <x v="0"/>
    <x v="0"/>
    <n v="56000"/>
  </r>
  <r>
    <x v="42"/>
    <x v="1"/>
    <x v="1"/>
    <n v="45000"/>
  </r>
  <r>
    <x v="43"/>
    <x v="4"/>
    <x v="0"/>
    <n v="42000"/>
  </r>
  <r>
    <x v="44"/>
    <x v="2"/>
    <x v="0"/>
    <n v="56000"/>
  </r>
  <r>
    <x v="45"/>
    <x v="0"/>
    <x v="0"/>
    <n v="61000"/>
  </r>
  <r>
    <x v="46"/>
    <x v="2"/>
    <x v="0"/>
    <n v="47000"/>
  </r>
  <r>
    <x v="47"/>
    <x v="6"/>
    <x v="1"/>
    <n v="63000"/>
  </r>
  <r>
    <x v="48"/>
    <x v="5"/>
    <x v="1"/>
    <n v="50000"/>
  </r>
  <r>
    <x v="49"/>
    <x v="5"/>
    <x v="1"/>
    <n v="57000"/>
  </r>
  <r>
    <x v="50"/>
    <x v="2"/>
    <x v="0"/>
    <n v="53000"/>
  </r>
</pivotCacheRecords>
</file>

<file path=xl/pivotCache/pivotCacheRecords2.xml><?xml version="1.0" encoding="utf-8"?>
<pivotCacheRecords xmlns="http://schemas.openxmlformats.org/spreadsheetml/2006/main" xmlns:r="http://schemas.openxmlformats.org/officeDocument/2006/relationships" count="11">
  <r>
    <x v="0"/>
    <x v="0"/>
    <n v="45000"/>
  </r>
  <r>
    <x v="1"/>
    <x v="0"/>
    <n v="59000"/>
  </r>
  <r>
    <x v="2"/>
    <x v="0"/>
    <n v="54000"/>
  </r>
  <r>
    <x v="3"/>
    <x v="1"/>
    <n v="44000"/>
  </r>
  <r>
    <x v="4"/>
    <x v="2"/>
    <n v="45000"/>
  </r>
  <r>
    <x v="5"/>
    <x v="1"/>
    <n v="47000"/>
  </r>
  <r>
    <x v="6"/>
    <x v="3"/>
    <n v="40000"/>
  </r>
  <r>
    <x v="7"/>
    <x v="4"/>
    <n v="59000"/>
  </r>
  <r>
    <x v="8"/>
    <x v="3"/>
    <n v="57000"/>
  </r>
  <r>
    <x v="9"/>
    <x v="1"/>
    <n v="42000"/>
  </r>
  <r>
    <x v="10"/>
    <x v="0"/>
    <n v="62000"/>
  </r>
</pivotCacheRecords>
</file>

<file path=xl/pivotCache/pivotCacheRecords3.xml><?xml version="1.0" encoding="utf-8"?>
<pivotCacheRecords xmlns="http://schemas.openxmlformats.org/spreadsheetml/2006/main" xmlns:r="http://schemas.openxmlformats.org/officeDocument/2006/relationships" count="16">
  <r>
    <s v="Abigail Aalderink"/>
    <x v="0"/>
    <n v="45000"/>
  </r>
  <r>
    <s v="Sanford Bartolo"/>
    <x v="0"/>
    <n v="59000"/>
  </r>
  <r>
    <s v="Samuel Bartnick"/>
    <x v="0"/>
    <n v="54000"/>
  </r>
  <r>
    <s v="John Dumas"/>
    <x v="1"/>
    <n v="44000"/>
  </r>
  <r>
    <s v="Kristi Hines"/>
    <x v="2"/>
    <n v="45000"/>
  </r>
  <r>
    <s v="Apple Lyn"/>
    <x v="1"/>
    <n v="47000"/>
  </r>
  <r>
    <s v="Lee Nazal"/>
    <x v="3"/>
    <n v="40000"/>
  </r>
  <r>
    <s v="Lindsy Kline"/>
    <x v="4"/>
    <n v="59000"/>
  </r>
  <r>
    <s v="Vicky James"/>
    <x v="3"/>
    <n v="57000"/>
  </r>
  <r>
    <s v="Bradley Sack"/>
    <x v="1"/>
    <n v="42000"/>
  </r>
  <r>
    <s v="Steven Lamar"/>
    <x v="0"/>
    <n v="62000"/>
  </r>
  <r>
    <m/>
    <x v="5"/>
    <m/>
  </r>
  <r>
    <s v="Dateset2"/>
    <x v="5"/>
    <m/>
  </r>
  <r>
    <s v="Full name"/>
    <x v="6"/>
    <s v="Salary"/>
  </r>
  <r>
    <s v="Sally Johnson"/>
    <x v="0"/>
    <n v="42000"/>
  </r>
  <r>
    <s v="Christy Brown"/>
    <x v="0"/>
    <n v="6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29:H37" firstHeaderRow="1" firstDataRow="1" firstDataCol="1"/>
  <pivotFields count="3">
    <pivotField showAll="0"/>
    <pivotField axis="axisRow" showAll="0">
      <items count="8">
        <item x="3"/>
        <item x="1"/>
        <item x="4"/>
        <item x="2"/>
        <item x="0"/>
        <item x="5"/>
        <item x="6"/>
        <item t="default"/>
      </items>
    </pivotField>
    <pivotField dataField="1" numFmtId="164" showAll="0"/>
  </pivotFields>
  <rowFields count="1">
    <field x="1"/>
  </rowFields>
  <rowItems count="8">
    <i>
      <x/>
    </i>
    <i>
      <x v="1"/>
    </i>
    <i>
      <x v="2"/>
    </i>
    <i>
      <x v="3"/>
    </i>
    <i>
      <x v="4"/>
    </i>
    <i>
      <x v="5"/>
    </i>
    <i>
      <x v="6"/>
    </i>
    <i t="grand">
      <x/>
    </i>
  </rowItems>
  <colItems count="1">
    <i/>
  </colItem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20:H26" firstHeaderRow="1" firstDataRow="1" firstDataCol="1"/>
  <pivotFields count="3">
    <pivotField showAll="0">
      <items count="12">
        <item x="0"/>
        <item x="5"/>
        <item x="9"/>
        <item x="3"/>
        <item x="4"/>
        <item x="6"/>
        <item x="7"/>
        <item x="2"/>
        <item x="1"/>
        <item x="10"/>
        <item x="8"/>
        <item t="default"/>
      </items>
    </pivotField>
    <pivotField axis="axisRow" showAll="0">
      <items count="6">
        <item x="3"/>
        <item x="1"/>
        <item x="4"/>
        <item x="2"/>
        <item x="0"/>
        <item t="default"/>
      </items>
    </pivotField>
    <pivotField dataField="1" numFmtId="164" showAll="0"/>
  </pivotFields>
  <rowFields count="1">
    <field x="1"/>
  </rowFields>
  <rowItems count="6">
    <i>
      <x/>
    </i>
    <i>
      <x v="1"/>
    </i>
    <i>
      <x v="2"/>
    </i>
    <i>
      <x v="3"/>
    </i>
    <i>
      <x v="4"/>
    </i>
    <i t="grand">
      <x/>
    </i>
  </rowItems>
  <colItems count="1">
    <i/>
  </colItem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H33:K42" firstHeaderRow="1" firstDataRow="2" firstDataCol="1"/>
  <pivotFields count="5">
    <pivotField showAll="0" defaultSubtotal="0"/>
    <pivotField axis="axisRow" showAll="0" defaultSubtotal="0">
      <items count="7">
        <item x="6"/>
        <item x="5"/>
        <item x="3"/>
        <item x="1"/>
        <item x="4"/>
        <item x="2"/>
        <item x="0"/>
      </items>
    </pivotField>
    <pivotField axis="axisCol" showAll="0" defaultSubtotal="0">
      <items count="2">
        <item x="0"/>
        <item x="1"/>
      </items>
    </pivotField>
    <pivotField dataField="1" numFmtId="164" showAll="0" defaultSubtotal="0"/>
    <pivotField dragToRow="0" dragToCol="0" dragToPage="0" showAll="0" defaultSubtotal="0"/>
  </pivotFields>
  <rowFields count="1">
    <field x="1"/>
  </rowFields>
  <rowItems count="8">
    <i>
      <x/>
    </i>
    <i>
      <x v="1"/>
    </i>
    <i>
      <x v="2"/>
    </i>
    <i>
      <x v="3"/>
    </i>
    <i>
      <x v="4"/>
    </i>
    <i>
      <x v="5"/>
    </i>
    <i>
      <x v="6"/>
    </i>
    <i t="grand">
      <x/>
    </i>
  </rowItems>
  <colFields count="1">
    <field x="2"/>
  </colFields>
  <colItems count="3">
    <i>
      <x/>
    </i>
    <i>
      <x v="1"/>
    </i>
    <i t="grand">
      <x/>
    </i>
  </colItems>
  <dataFields count="1">
    <dataField name="Sum of Salary" fld="3"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H7:I17" firstHeaderRow="1" firstDataRow="1" firstDataCol="1"/>
  <pivotFields count="5">
    <pivotField showAll="0" defaultSubtotal="0"/>
    <pivotField axis="axisRow" showAll="0" defaultSubtotal="0">
      <items count="7">
        <item x="6"/>
        <item x="5"/>
        <item x="3"/>
        <item x="1"/>
        <item x="4"/>
        <item x="2"/>
        <item x="0"/>
      </items>
    </pivotField>
    <pivotField axis="axisRow" showAll="0" defaultSubtotal="0">
      <items count="2">
        <item x="0"/>
        <item x="1"/>
      </items>
    </pivotField>
    <pivotField dataField="1" numFmtId="164" showAll="0" defaultSubtotal="0"/>
    <pivotField dragToRow="0" dragToCol="0" dragToPage="0" showAll="0" defaultSubtotal="0"/>
  </pivotFields>
  <rowFields count="2">
    <field x="2"/>
    <field x="1"/>
  </rowFields>
  <rowItems count="10">
    <i>
      <x/>
    </i>
    <i r="1">
      <x v="4"/>
    </i>
    <i r="1">
      <x v="5"/>
    </i>
    <i r="1">
      <x v="6"/>
    </i>
    <i>
      <x v="1"/>
    </i>
    <i r="1">
      <x/>
    </i>
    <i r="1">
      <x v="1"/>
    </i>
    <i r="1">
      <x v="2"/>
    </i>
    <i r="1">
      <x v="3"/>
    </i>
    <i t="grand">
      <x/>
    </i>
  </rowItems>
  <colItems count="1">
    <i/>
  </colItems>
  <dataFields count="1">
    <dataField name="Sum of Salary" fld="3"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S7:T19" firstHeaderRow="1" firstDataRow="1" firstDataCol="1"/>
  <pivotFields count="5">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h="1" x="1"/>
        <item sd="0" x="4"/>
        <item h="1" x="2"/>
        <item x="0"/>
        <item t="default"/>
      </items>
    </pivotField>
    <pivotField axis="axisRow" showAll="0">
      <items count="3">
        <item x="0"/>
        <item x="1"/>
        <item t="default"/>
      </items>
    </pivotField>
    <pivotField dataField="1" numFmtId="164" showAll="0"/>
    <pivotField dragToRow="0" dragToCol="0" dragToPage="0" showAll="0" defaultSubtotal="0"/>
  </pivotFields>
  <rowFields count="3">
    <field x="2"/>
    <field x="1"/>
    <field x="0"/>
  </rowFields>
  <rowItems count="12">
    <i>
      <x/>
    </i>
    <i r="1">
      <x v="4"/>
    </i>
    <i r="1">
      <x v="6"/>
    </i>
    <i r="2">
      <x/>
    </i>
    <i r="2">
      <x v="10"/>
    </i>
    <i r="2">
      <x v="30"/>
    </i>
    <i>
      <x v="1"/>
    </i>
    <i r="1">
      <x v="2"/>
    </i>
    <i r="2">
      <x v="25"/>
    </i>
    <i r="2">
      <x v="34"/>
    </i>
    <i r="2">
      <x v="36"/>
    </i>
    <i t="grand">
      <x/>
    </i>
  </rowItems>
  <colItems count="1">
    <i/>
  </colItems>
  <dataFields count="1">
    <dataField name="Sum of Salary" fld="3" baseField="1" baseItem="5"/>
  </dataFields>
  <formats count="17">
    <format dxfId="62">
      <pivotArea collapsedLevelsAreSubtotals="1" fieldPosition="0">
        <references count="2">
          <reference field="1" count="3">
            <x v="4"/>
            <x v="5"/>
            <x v="6"/>
          </reference>
          <reference field="2" count="1" selected="0">
            <x v="0"/>
          </reference>
        </references>
      </pivotArea>
    </format>
    <format dxfId="61">
      <pivotArea collapsedLevelsAreSubtotals="1" fieldPosition="0">
        <references count="1">
          <reference field="2" count="1">
            <x v="1"/>
          </reference>
        </references>
      </pivotArea>
    </format>
    <format dxfId="60">
      <pivotArea collapsedLevelsAreSubtotals="1" fieldPosition="0">
        <references count="2">
          <reference field="1" count="4">
            <x v="0"/>
            <x v="1"/>
            <x v="2"/>
            <x v="3"/>
          </reference>
          <reference field="2" count="1" selected="0">
            <x v="1"/>
          </reference>
        </references>
      </pivotArea>
    </format>
    <format dxfId="59">
      <pivotArea collapsedLevelsAreSubtotals="1" fieldPosition="0">
        <references count="2">
          <reference field="1" count="3">
            <x v="4"/>
            <x v="5"/>
            <x v="6"/>
          </reference>
          <reference field="2" count="1" selected="0">
            <x v="0"/>
          </reference>
        </references>
      </pivotArea>
    </format>
    <format dxfId="58">
      <pivotArea collapsedLevelsAreSubtotals="1" fieldPosition="0">
        <references count="1">
          <reference field="2" count="1">
            <x v="1"/>
          </reference>
        </references>
      </pivotArea>
    </format>
    <format dxfId="57">
      <pivotArea collapsedLevelsAreSubtotals="1" fieldPosition="0">
        <references count="2">
          <reference field="1" count="4">
            <x v="0"/>
            <x v="1"/>
            <x v="2"/>
            <x v="3"/>
          </reference>
          <reference field="2" count="1" selected="0">
            <x v="1"/>
          </reference>
        </references>
      </pivotArea>
    </format>
    <format dxfId="56">
      <pivotArea collapsedLevelsAreSubtotals="1" fieldPosition="0">
        <references count="2">
          <reference field="1" count="3">
            <x v="4"/>
            <x v="5"/>
            <x v="6"/>
          </reference>
          <reference field="2" count="1" selected="0">
            <x v="0"/>
          </reference>
        </references>
      </pivotArea>
    </format>
    <format dxfId="55">
      <pivotArea collapsedLevelsAreSubtotals="1" fieldPosition="0">
        <references count="1">
          <reference field="2" count="1">
            <x v="1"/>
          </reference>
        </references>
      </pivotArea>
    </format>
    <format dxfId="54">
      <pivotArea collapsedLevelsAreSubtotals="1" fieldPosition="0">
        <references count="2">
          <reference field="1" count="4">
            <x v="0"/>
            <x v="1"/>
            <x v="2"/>
            <x v="3"/>
          </reference>
          <reference field="2" count="1" selected="0">
            <x v="1"/>
          </reference>
        </references>
      </pivotArea>
    </format>
    <format dxfId="53">
      <pivotArea collapsedLevelsAreSubtotals="1" fieldPosition="0">
        <references count="2">
          <reference field="1" count="3">
            <x v="4"/>
            <x v="5"/>
            <x v="6"/>
          </reference>
          <reference field="2" count="1" selected="0">
            <x v="0"/>
          </reference>
        </references>
      </pivotArea>
    </format>
    <format dxfId="52">
      <pivotArea collapsedLevelsAreSubtotals="1" fieldPosition="0">
        <references count="1">
          <reference field="2" count="1">
            <x v="1"/>
          </reference>
        </references>
      </pivotArea>
    </format>
    <format dxfId="51">
      <pivotArea collapsedLevelsAreSubtotals="1" fieldPosition="0">
        <references count="2">
          <reference field="1" count="4">
            <x v="0"/>
            <x v="1"/>
            <x v="2"/>
            <x v="3"/>
          </reference>
          <reference field="2" count="1" selected="0">
            <x v="1"/>
          </reference>
        </references>
      </pivotArea>
    </format>
    <format dxfId="50">
      <pivotArea grandRow="1" outline="0" collapsedLevelsAreSubtotals="1" fieldPosition="0"/>
    </format>
    <format dxfId="49">
      <pivotArea grandRow="1" outline="0" collapsedLevelsAreSubtotals="1" fieldPosition="0"/>
    </format>
    <format dxfId="48">
      <pivotArea grandRow="1" outline="0" collapsedLevelsAreSubtotals="1" fieldPosition="0"/>
    </format>
    <format dxfId="47">
      <pivotArea grandRow="1" outline="0" collapsedLevelsAreSubtotals="1" fieldPosition="0"/>
    </format>
    <format dxfId="46">
      <pivotArea grandRow="1" outline="0" collapsedLevelsAreSubtotals="1" fieldPosition="0"/>
    </format>
  </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50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N7:O29" firstHeaderRow="1" firstDataRow="1" firstDataCol="1"/>
  <pivotFields count="5">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s>
  <rowFields count="3">
    <field x="2"/>
    <field x="1"/>
    <field x="0"/>
  </rowFields>
  <rowItems count="22">
    <i>
      <x/>
    </i>
    <i r="1">
      <x v="4"/>
    </i>
    <i r="2">
      <x v="4"/>
    </i>
    <i r="2">
      <x v="8"/>
    </i>
    <i r="1">
      <x v="5"/>
    </i>
    <i r="2">
      <x v="24"/>
    </i>
    <i r="2">
      <x v="41"/>
    </i>
    <i r="1">
      <x v="6"/>
    </i>
    <i r="2">
      <x/>
    </i>
    <i r="2">
      <x v="10"/>
    </i>
    <i r="2">
      <x v="30"/>
    </i>
    <i>
      <x v="1"/>
    </i>
    <i r="1">
      <x v="2"/>
    </i>
    <i r="2">
      <x v="25"/>
    </i>
    <i r="2">
      <x v="34"/>
    </i>
    <i r="2">
      <x v="36"/>
    </i>
    <i r="1">
      <x v="3"/>
    </i>
    <i r="2">
      <x v="3"/>
    </i>
    <i r="2">
      <x v="5"/>
    </i>
    <i r="2">
      <x v="22"/>
    </i>
    <i r="2">
      <x v="28"/>
    </i>
    <i t="grand">
      <x/>
    </i>
  </rowItems>
  <colItems count="1">
    <i/>
  </colItems>
  <dataFields count="1">
    <dataField name="Sum of Salary" fld="3" baseField="1" baseItem="5"/>
  </dataFields>
  <formats count="17">
    <format dxfId="79">
      <pivotArea collapsedLevelsAreSubtotals="1" fieldPosition="0">
        <references count="2">
          <reference field="1" count="3">
            <x v="4"/>
            <x v="5"/>
            <x v="6"/>
          </reference>
          <reference field="2" count="1" selected="0">
            <x v="0"/>
          </reference>
        </references>
      </pivotArea>
    </format>
    <format dxfId="78">
      <pivotArea collapsedLevelsAreSubtotals="1" fieldPosition="0">
        <references count="1">
          <reference field="2" count="1">
            <x v="1"/>
          </reference>
        </references>
      </pivotArea>
    </format>
    <format dxfId="77">
      <pivotArea collapsedLevelsAreSubtotals="1" fieldPosition="0">
        <references count="2">
          <reference field="1" count="4">
            <x v="0"/>
            <x v="1"/>
            <x v="2"/>
            <x v="3"/>
          </reference>
          <reference field="2" count="1" selected="0">
            <x v="1"/>
          </reference>
        </references>
      </pivotArea>
    </format>
    <format dxfId="76">
      <pivotArea collapsedLevelsAreSubtotals="1" fieldPosition="0">
        <references count="2">
          <reference field="1" count="3">
            <x v="4"/>
            <x v="5"/>
            <x v="6"/>
          </reference>
          <reference field="2" count="1" selected="0">
            <x v="0"/>
          </reference>
        </references>
      </pivotArea>
    </format>
    <format dxfId="75">
      <pivotArea collapsedLevelsAreSubtotals="1" fieldPosition="0">
        <references count="1">
          <reference field="2" count="1">
            <x v="1"/>
          </reference>
        </references>
      </pivotArea>
    </format>
    <format dxfId="74">
      <pivotArea collapsedLevelsAreSubtotals="1" fieldPosition="0">
        <references count="2">
          <reference field="1" count="4">
            <x v="0"/>
            <x v="1"/>
            <x v="2"/>
            <x v="3"/>
          </reference>
          <reference field="2" count="1" selected="0">
            <x v="1"/>
          </reference>
        </references>
      </pivotArea>
    </format>
    <format dxfId="73">
      <pivotArea collapsedLevelsAreSubtotals="1" fieldPosition="0">
        <references count="2">
          <reference field="1" count="3">
            <x v="4"/>
            <x v="5"/>
            <x v="6"/>
          </reference>
          <reference field="2" count="1" selected="0">
            <x v="0"/>
          </reference>
        </references>
      </pivotArea>
    </format>
    <format dxfId="72">
      <pivotArea collapsedLevelsAreSubtotals="1" fieldPosition="0">
        <references count="1">
          <reference field="2" count="1">
            <x v="1"/>
          </reference>
        </references>
      </pivotArea>
    </format>
    <format dxfId="71">
      <pivotArea collapsedLevelsAreSubtotals="1" fieldPosition="0">
        <references count="2">
          <reference field="1" count="4">
            <x v="0"/>
            <x v="1"/>
            <x v="2"/>
            <x v="3"/>
          </reference>
          <reference field="2" count="1" selected="0">
            <x v="1"/>
          </reference>
        </references>
      </pivotArea>
    </format>
    <format dxfId="70">
      <pivotArea collapsedLevelsAreSubtotals="1" fieldPosition="0">
        <references count="2">
          <reference field="1" count="3">
            <x v="4"/>
            <x v="5"/>
            <x v="6"/>
          </reference>
          <reference field="2" count="1" selected="0">
            <x v="0"/>
          </reference>
        </references>
      </pivotArea>
    </format>
    <format dxfId="69">
      <pivotArea collapsedLevelsAreSubtotals="1" fieldPosition="0">
        <references count="1">
          <reference field="2" count="1">
            <x v="1"/>
          </reference>
        </references>
      </pivotArea>
    </format>
    <format dxfId="68">
      <pivotArea collapsedLevelsAreSubtotals="1" fieldPosition="0">
        <references count="2">
          <reference field="1" count="4">
            <x v="0"/>
            <x v="1"/>
            <x v="2"/>
            <x v="3"/>
          </reference>
          <reference field="2" count="1" selected="0">
            <x v="1"/>
          </reference>
        </references>
      </pivotArea>
    </format>
    <format dxfId="67">
      <pivotArea grandRow="1" outline="0" collapsedLevelsAreSubtotals="1" fieldPosition="0"/>
    </format>
    <format dxfId="66">
      <pivotArea grandRow="1" outline="0" collapsedLevelsAreSubtotals="1" fieldPosition="0"/>
    </format>
    <format dxfId="65">
      <pivotArea grandRow="1" outline="0" collapsedLevelsAreSubtotals="1" fieldPosition="0"/>
    </format>
    <format dxfId="64">
      <pivotArea grandRow="1" outline="0" collapsedLevelsAreSubtotals="1" fieldPosition="0"/>
    </format>
    <format dxfId="63">
      <pivotArea grandRow="1" outline="0" collapsedLevelsAreSubtotals="1" fieldPosition="0"/>
    </format>
  </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50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K7:L29" firstHeaderRow="1" firstDataRow="1" firstDataCol="1"/>
  <pivotFields count="5">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s>
  <rowFields count="3">
    <field x="2"/>
    <field x="1"/>
    <field x="0"/>
  </rowFields>
  <rowItems count="22">
    <i>
      <x/>
    </i>
    <i r="1">
      <x v="4"/>
    </i>
    <i r="2">
      <x v="4"/>
    </i>
    <i r="2">
      <x v="8"/>
    </i>
    <i r="1">
      <x v="5"/>
    </i>
    <i r="2">
      <x v="24"/>
    </i>
    <i r="2">
      <x v="41"/>
    </i>
    <i r="1">
      <x v="6"/>
    </i>
    <i r="2">
      <x/>
    </i>
    <i r="2">
      <x v="10"/>
    </i>
    <i r="2">
      <x v="30"/>
    </i>
    <i>
      <x v="1"/>
    </i>
    <i r="1">
      <x v="2"/>
    </i>
    <i r="2">
      <x v="25"/>
    </i>
    <i r="2">
      <x v="34"/>
    </i>
    <i r="2">
      <x v="36"/>
    </i>
    <i r="1">
      <x v="3"/>
    </i>
    <i r="2">
      <x v="3"/>
    </i>
    <i r="2">
      <x v="5"/>
    </i>
    <i r="2">
      <x v="22"/>
    </i>
    <i r="2">
      <x v="28"/>
    </i>
    <i t="grand">
      <x/>
    </i>
  </rowItems>
  <colItems count="1">
    <i/>
  </colItems>
  <dataFields count="1">
    <dataField name="Sum of Salary" fld="3" baseField="1" baseItem="5"/>
  </dataFields>
  <formats count="17">
    <format dxfId="96">
      <pivotArea collapsedLevelsAreSubtotals="1" fieldPosition="0">
        <references count="2">
          <reference field="1" count="3">
            <x v="4"/>
            <x v="5"/>
            <x v="6"/>
          </reference>
          <reference field="2" count="1" selected="0">
            <x v="0"/>
          </reference>
        </references>
      </pivotArea>
    </format>
    <format dxfId="95">
      <pivotArea collapsedLevelsAreSubtotals="1" fieldPosition="0">
        <references count="1">
          <reference field="2" count="1">
            <x v="1"/>
          </reference>
        </references>
      </pivotArea>
    </format>
    <format dxfId="94">
      <pivotArea collapsedLevelsAreSubtotals="1" fieldPosition="0">
        <references count="2">
          <reference field="1" count="4">
            <x v="0"/>
            <x v="1"/>
            <x v="2"/>
            <x v="3"/>
          </reference>
          <reference field="2" count="1" selected="0">
            <x v="1"/>
          </reference>
        </references>
      </pivotArea>
    </format>
    <format dxfId="93">
      <pivotArea collapsedLevelsAreSubtotals="1" fieldPosition="0">
        <references count="2">
          <reference field="1" count="3">
            <x v="4"/>
            <x v="5"/>
            <x v="6"/>
          </reference>
          <reference field="2" count="1" selected="0">
            <x v="0"/>
          </reference>
        </references>
      </pivotArea>
    </format>
    <format dxfId="92">
      <pivotArea collapsedLevelsAreSubtotals="1" fieldPosition="0">
        <references count="1">
          <reference field="2" count="1">
            <x v="1"/>
          </reference>
        </references>
      </pivotArea>
    </format>
    <format dxfId="91">
      <pivotArea collapsedLevelsAreSubtotals="1" fieldPosition="0">
        <references count="2">
          <reference field="1" count="4">
            <x v="0"/>
            <x v="1"/>
            <x v="2"/>
            <x v="3"/>
          </reference>
          <reference field="2" count="1" selected="0">
            <x v="1"/>
          </reference>
        </references>
      </pivotArea>
    </format>
    <format dxfId="90">
      <pivotArea collapsedLevelsAreSubtotals="1" fieldPosition="0">
        <references count="2">
          <reference field="1" count="3">
            <x v="4"/>
            <x v="5"/>
            <x v="6"/>
          </reference>
          <reference field="2" count="1" selected="0">
            <x v="0"/>
          </reference>
        </references>
      </pivotArea>
    </format>
    <format dxfId="89">
      <pivotArea collapsedLevelsAreSubtotals="1" fieldPosition="0">
        <references count="1">
          <reference field="2" count="1">
            <x v="1"/>
          </reference>
        </references>
      </pivotArea>
    </format>
    <format dxfId="88">
      <pivotArea collapsedLevelsAreSubtotals="1" fieldPosition="0">
        <references count="2">
          <reference field="1" count="4">
            <x v="0"/>
            <x v="1"/>
            <x v="2"/>
            <x v="3"/>
          </reference>
          <reference field="2" count="1" selected="0">
            <x v="1"/>
          </reference>
        </references>
      </pivotArea>
    </format>
    <format dxfId="87">
      <pivotArea collapsedLevelsAreSubtotals="1" fieldPosition="0">
        <references count="2">
          <reference field="1" count="3">
            <x v="4"/>
            <x v="5"/>
            <x v="6"/>
          </reference>
          <reference field="2" count="1" selected="0">
            <x v="0"/>
          </reference>
        </references>
      </pivotArea>
    </format>
    <format dxfId="86">
      <pivotArea collapsedLevelsAreSubtotals="1" fieldPosition="0">
        <references count="1">
          <reference field="2" count="1">
            <x v="1"/>
          </reference>
        </references>
      </pivotArea>
    </format>
    <format dxfId="85">
      <pivotArea collapsedLevelsAreSubtotals="1" fieldPosition="0">
        <references count="2">
          <reference field="1" count="4">
            <x v="0"/>
            <x v="1"/>
            <x v="2"/>
            <x v="3"/>
          </reference>
          <reference field="2" count="1" selected="0">
            <x v="1"/>
          </reference>
        </references>
      </pivotArea>
    </format>
    <format dxfId="84">
      <pivotArea grandRow="1" outline="0" collapsedLevelsAreSubtotals="1" fieldPosition="0"/>
    </format>
    <format dxfId="83">
      <pivotArea grandRow="1" outline="0" collapsedLevelsAreSubtotals="1" fieldPosition="0"/>
    </format>
    <format dxfId="82">
      <pivotArea grandRow="1" outline="0" collapsedLevelsAreSubtotals="1" fieldPosition="0"/>
    </format>
    <format dxfId="81">
      <pivotArea grandRow="1" outline="0" collapsedLevelsAreSubtotals="1" fieldPosition="0"/>
    </format>
    <format dxfId="80">
      <pivotArea grandRow="1" outline="0" collapsedLevelsAreSubtotals="1" fieldPosition="0"/>
    </format>
  </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50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H7:I55" firstHeaderRow="1" firstDataRow="1" firstDataCol="1"/>
  <pivotFields count="5">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s>
  <rowFields count="3">
    <field x="2"/>
    <field x="1"/>
    <field x="0"/>
  </rowFields>
  <rowItems count="48">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dataFields>
  <formats count="17">
    <format dxfId="113">
      <pivotArea collapsedLevelsAreSubtotals="1" fieldPosition="0">
        <references count="2">
          <reference field="1" count="3">
            <x v="4"/>
            <x v="5"/>
            <x v="6"/>
          </reference>
          <reference field="2" count="1" selected="0">
            <x v="0"/>
          </reference>
        </references>
      </pivotArea>
    </format>
    <format dxfId="112">
      <pivotArea collapsedLevelsAreSubtotals="1" fieldPosition="0">
        <references count="1">
          <reference field="2" count="1">
            <x v="1"/>
          </reference>
        </references>
      </pivotArea>
    </format>
    <format dxfId="111">
      <pivotArea collapsedLevelsAreSubtotals="1" fieldPosition="0">
        <references count="2">
          <reference field="1" count="4">
            <x v="0"/>
            <x v="1"/>
            <x v="2"/>
            <x v="3"/>
          </reference>
          <reference field="2" count="1" selected="0">
            <x v="1"/>
          </reference>
        </references>
      </pivotArea>
    </format>
    <format dxfId="110">
      <pivotArea collapsedLevelsAreSubtotals="1" fieldPosition="0">
        <references count="2">
          <reference field="1" count="3">
            <x v="4"/>
            <x v="5"/>
            <x v="6"/>
          </reference>
          <reference field="2" count="1" selected="0">
            <x v="0"/>
          </reference>
        </references>
      </pivotArea>
    </format>
    <format dxfId="109">
      <pivotArea collapsedLevelsAreSubtotals="1" fieldPosition="0">
        <references count="1">
          <reference field="2" count="1">
            <x v="1"/>
          </reference>
        </references>
      </pivotArea>
    </format>
    <format dxfId="108">
      <pivotArea collapsedLevelsAreSubtotals="1" fieldPosition="0">
        <references count="2">
          <reference field="1" count="4">
            <x v="0"/>
            <x v="1"/>
            <x v="2"/>
            <x v="3"/>
          </reference>
          <reference field="2" count="1" selected="0">
            <x v="1"/>
          </reference>
        </references>
      </pivotArea>
    </format>
    <format dxfId="107">
      <pivotArea collapsedLevelsAreSubtotals="1" fieldPosition="0">
        <references count="2">
          <reference field="1" count="3">
            <x v="4"/>
            <x v="5"/>
            <x v="6"/>
          </reference>
          <reference field="2" count="1" selected="0">
            <x v="0"/>
          </reference>
        </references>
      </pivotArea>
    </format>
    <format dxfId="106">
      <pivotArea collapsedLevelsAreSubtotals="1" fieldPosition="0">
        <references count="1">
          <reference field="2" count="1">
            <x v="1"/>
          </reference>
        </references>
      </pivotArea>
    </format>
    <format dxfId="105">
      <pivotArea collapsedLevelsAreSubtotals="1" fieldPosition="0">
        <references count="2">
          <reference field="1" count="4">
            <x v="0"/>
            <x v="1"/>
            <x v="2"/>
            <x v="3"/>
          </reference>
          <reference field="2" count="1" selected="0">
            <x v="1"/>
          </reference>
        </references>
      </pivotArea>
    </format>
    <format dxfId="104">
      <pivotArea collapsedLevelsAreSubtotals="1" fieldPosition="0">
        <references count="2">
          <reference field="1" count="3">
            <x v="4"/>
            <x v="5"/>
            <x v="6"/>
          </reference>
          <reference field="2" count="1" selected="0">
            <x v="0"/>
          </reference>
        </references>
      </pivotArea>
    </format>
    <format dxfId="103">
      <pivotArea collapsedLevelsAreSubtotals="1" fieldPosition="0">
        <references count="1">
          <reference field="2" count="1">
            <x v="1"/>
          </reference>
        </references>
      </pivotArea>
    </format>
    <format dxfId="102">
      <pivotArea collapsedLevelsAreSubtotals="1" fieldPosition="0">
        <references count="2">
          <reference field="1" count="4">
            <x v="0"/>
            <x v="1"/>
            <x v="2"/>
            <x v="3"/>
          </reference>
          <reference field="2" count="1" selected="0">
            <x v="1"/>
          </reference>
        </references>
      </pivotArea>
    </format>
    <format dxfId="101">
      <pivotArea grandRow="1" outline="0" collapsedLevelsAreSubtotals="1" fieldPosition="0"/>
    </format>
    <format dxfId="100">
      <pivotArea grandRow="1" outline="0" collapsedLevelsAreSubtotals="1" fieldPosition="0"/>
    </format>
    <format dxfId="99">
      <pivotArea grandRow="1" outline="0" collapsedLevelsAreSubtotals="1" fieldPosition="0"/>
    </format>
    <format dxfId="98">
      <pivotArea grandRow="1" outline="0" collapsedLevelsAreSubtotals="1" fieldPosition="0"/>
    </format>
    <format dxfId="97">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B24:E72" firstHeaderRow="1" firstDataRow="1" firstDataCol="3"/>
  <pivotFields count="5">
    <pivotField axis="axisRow" compact="0" outline="0"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compact="0" outline="0" showAll="0">
      <items count="8">
        <item h="1" x="6"/>
        <item h="1" x="5"/>
        <item n="Human Resources" x="3"/>
        <item x="1"/>
        <item x="4"/>
        <item x="2"/>
        <item x="0"/>
        <item t="default"/>
      </items>
    </pivotField>
    <pivotField axis="axisRow" compact="0" outline="0" showAll="0">
      <items count="3">
        <item x="0"/>
        <item x="1"/>
        <item t="default"/>
      </items>
    </pivotField>
    <pivotField dataField="1" compact="0" numFmtId="164" outline="0" showAll="0"/>
    <pivotField compact="0" outline="0" dragToRow="0" dragToCol="0" dragToPage="0" showAll="0" defaultSubtotal="0"/>
  </pivotFields>
  <rowFields count="3">
    <field x="2"/>
    <field x="1"/>
    <field x="0"/>
  </rowFields>
  <rowItems count="48">
    <i>
      <x/>
      <x v="4"/>
      <x v="2"/>
    </i>
    <i r="2">
      <x v="4"/>
    </i>
    <i r="2">
      <x v="8"/>
    </i>
    <i r="2">
      <x v="18"/>
    </i>
    <i r="2">
      <x v="26"/>
    </i>
    <i t="default" r="1">
      <x v="4"/>
    </i>
    <i r="1">
      <x v="5"/>
      <x v="14"/>
    </i>
    <i r="2">
      <x v="15"/>
    </i>
    <i r="2">
      <x v="24"/>
    </i>
    <i r="2">
      <x v="33"/>
    </i>
    <i r="2">
      <x v="35"/>
    </i>
    <i r="2">
      <x v="37"/>
    </i>
    <i r="2">
      <x v="41"/>
    </i>
    <i r="2">
      <x v="46"/>
    </i>
    <i t="default" r="1">
      <x v="5"/>
    </i>
    <i r="1">
      <x v="6"/>
      <x/>
    </i>
    <i r="2">
      <x v="9"/>
    </i>
    <i r="2">
      <x v="10"/>
    </i>
    <i r="2">
      <x v="12"/>
    </i>
    <i r="2">
      <x v="13"/>
    </i>
    <i r="2">
      <x v="16"/>
    </i>
    <i r="2">
      <x v="19"/>
    </i>
    <i r="2">
      <x v="27"/>
    </i>
    <i r="2">
      <x v="30"/>
    </i>
    <i r="2">
      <x v="31"/>
    </i>
    <i r="2">
      <x v="39"/>
    </i>
    <i r="2">
      <x v="40"/>
    </i>
    <i r="2">
      <x v="45"/>
    </i>
    <i r="2">
      <x v="49"/>
    </i>
    <i t="default" r="1">
      <x v="6"/>
    </i>
    <i t="default">
      <x/>
    </i>
    <i>
      <x v="1"/>
      <x v="2"/>
      <x v="25"/>
    </i>
    <i r="2">
      <x v="32"/>
    </i>
    <i r="2">
      <x v="34"/>
    </i>
    <i r="2">
      <x v="36"/>
    </i>
    <i r="2">
      <x v="50"/>
    </i>
    <i t="default" r="1">
      <x v="2"/>
    </i>
    <i r="1">
      <x v="3"/>
      <x v="3"/>
    </i>
    <i r="2">
      <x v="5"/>
    </i>
    <i r="2">
      <x v="6"/>
    </i>
    <i r="2">
      <x v="22"/>
    </i>
    <i r="2">
      <x v="23"/>
    </i>
    <i r="2">
      <x v="28"/>
    </i>
    <i r="2">
      <x v="29"/>
    </i>
    <i r="2">
      <x v="48"/>
    </i>
    <i t="default" r="1">
      <x v="3"/>
    </i>
    <i t="default">
      <x v="1"/>
    </i>
    <i t="grand">
      <x/>
    </i>
  </rowItems>
  <colItems count="1">
    <i/>
  </colItems>
  <dataFields count="1">
    <dataField name="Sum of Salary" fld="3" baseField="1" baseItem="5" numFmtId="4"/>
  </dataFields>
  <formats count="20">
    <format dxfId="25">
      <pivotArea collapsedLevelsAreSubtotals="1" fieldPosition="0">
        <references count="2">
          <reference field="1" count="3">
            <x v="4"/>
            <x v="5"/>
            <x v="6"/>
          </reference>
          <reference field="2" count="1" selected="0">
            <x v="0"/>
          </reference>
        </references>
      </pivotArea>
    </format>
    <format dxfId="24">
      <pivotArea collapsedLevelsAreSubtotals="1" fieldPosition="0">
        <references count="1">
          <reference field="2" count="1">
            <x v="1"/>
          </reference>
        </references>
      </pivotArea>
    </format>
    <format dxfId="23">
      <pivotArea collapsedLevelsAreSubtotals="1" fieldPosition="0">
        <references count="2">
          <reference field="1" count="4">
            <x v="0"/>
            <x v="1"/>
            <x v="2"/>
            <x v="3"/>
          </reference>
          <reference field="2" count="1" selected="0">
            <x v="1"/>
          </reference>
        </references>
      </pivotArea>
    </format>
    <format dxfId="22">
      <pivotArea collapsedLevelsAreSubtotals="1" fieldPosition="0">
        <references count="2">
          <reference field="1" count="3">
            <x v="4"/>
            <x v="5"/>
            <x v="6"/>
          </reference>
          <reference field="2" count="1" selected="0">
            <x v="0"/>
          </reference>
        </references>
      </pivotArea>
    </format>
    <format dxfId="21">
      <pivotArea collapsedLevelsAreSubtotals="1" fieldPosition="0">
        <references count="1">
          <reference field="2" count="1">
            <x v="1"/>
          </reference>
        </references>
      </pivotArea>
    </format>
    <format dxfId="20">
      <pivotArea collapsedLevelsAreSubtotals="1" fieldPosition="0">
        <references count="2">
          <reference field="1" count="4">
            <x v="0"/>
            <x v="1"/>
            <x v="2"/>
            <x v="3"/>
          </reference>
          <reference field="2" count="1" selected="0">
            <x v="1"/>
          </reference>
        </references>
      </pivotArea>
    </format>
    <format dxfId="19">
      <pivotArea collapsedLevelsAreSubtotals="1" fieldPosition="0">
        <references count="2">
          <reference field="1" count="3">
            <x v="4"/>
            <x v="5"/>
            <x v="6"/>
          </reference>
          <reference field="2" count="1" selected="0">
            <x v="0"/>
          </reference>
        </references>
      </pivotArea>
    </format>
    <format dxfId="18">
      <pivotArea collapsedLevelsAreSubtotals="1" fieldPosition="0">
        <references count="1">
          <reference field="2" count="1">
            <x v="1"/>
          </reference>
        </references>
      </pivotArea>
    </format>
    <format dxfId="17">
      <pivotArea collapsedLevelsAreSubtotals="1" fieldPosition="0">
        <references count="2">
          <reference field="1" count="4">
            <x v="0"/>
            <x v="1"/>
            <x v="2"/>
            <x v="3"/>
          </reference>
          <reference field="2" count="1" selected="0">
            <x v="1"/>
          </reference>
        </references>
      </pivotArea>
    </format>
    <format dxfId="16">
      <pivotArea collapsedLevelsAreSubtotals="1" fieldPosition="0">
        <references count="2">
          <reference field="1" count="3">
            <x v="4"/>
            <x v="5"/>
            <x v="6"/>
          </reference>
          <reference field="2" count="1" selected="0">
            <x v="0"/>
          </reference>
        </references>
      </pivotArea>
    </format>
    <format dxfId="15">
      <pivotArea collapsedLevelsAreSubtotals="1" fieldPosition="0">
        <references count="1">
          <reference field="2" count="1">
            <x v="1"/>
          </reference>
        </references>
      </pivotArea>
    </format>
    <format dxfId="14">
      <pivotArea collapsedLevelsAreSubtotals="1" fieldPosition="0">
        <references count="2">
          <reference field="1" count="4">
            <x v="0"/>
            <x v="1"/>
            <x v="2"/>
            <x v="3"/>
          </reference>
          <reference field="2" count="1" selected="0">
            <x v="1"/>
          </reference>
        </references>
      </pivotArea>
    </format>
    <format dxfId="13">
      <pivotArea grandRow="1" outline="0" collapsedLevelsAreSubtotals="1" fieldPosition="0"/>
    </format>
    <format dxfId="12">
      <pivotArea grandRow="1" outline="0" collapsedLevelsAreSubtotals="1" fieldPosition="0"/>
    </format>
    <format dxfId="11">
      <pivotArea grandRow="1" outline="0" collapsedLevelsAreSubtotals="1" fieldPosition="0"/>
    </format>
    <format dxfId="10">
      <pivotArea grandRow="1" outline="0" collapsedLevelsAreSubtotals="1" fieldPosition="0"/>
    </format>
    <format dxfId="9">
      <pivotArea grandRow="1" outline="0" collapsedLevelsAreSubtotals="1" fieldPosition="0"/>
    </format>
    <format dxfId="8">
      <pivotArea field="2" type="button" dataOnly="0" labelOnly="1" outline="0" axis="axisRow" fieldPosition="0"/>
    </format>
    <format dxfId="7">
      <pivotArea outline="0" collapsedLevelsAreSubtotals="1" fieldPosition="0"/>
    </format>
    <format dxfId="6">
      <pivotArea dataOnly="0" labelOnly="1" outline="0" axis="axisValues" fieldPosition="0"/>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H7:I55" firstHeaderRow="1" firstDataRow="1" firstDataCol="1"/>
  <pivotFields count="5">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n="Human Resources" x="3"/>
        <item x="1"/>
        <item x="4"/>
        <item x="2"/>
        <item x="0"/>
        <item t="default"/>
      </items>
    </pivotField>
    <pivotField axis="axisRow" showAll="0">
      <items count="3">
        <item x="0"/>
        <item x="1"/>
        <item t="default"/>
      </items>
    </pivotField>
    <pivotField dataField="1" numFmtId="164" showAll="0"/>
    <pivotField dragToRow="0" dragToCol="0" dragToPage="0" showAll="0" defaultSubtotal="0"/>
  </pivotFields>
  <rowFields count="3">
    <field x="2"/>
    <field x="1"/>
    <field x="0"/>
  </rowFields>
  <rowItems count="48">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numFmtId="4"/>
  </dataFields>
  <formats count="20">
    <format dxfId="45">
      <pivotArea collapsedLevelsAreSubtotals="1" fieldPosition="0">
        <references count="2">
          <reference field="1" count="3">
            <x v="4"/>
            <x v="5"/>
            <x v="6"/>
          </reference>
          <reference field="2" count="1" selected="0">
            <x v="0"/>
          </reference>
        </references>
      </pivotArea>
    </format>
    <format dxfId="44">
      <pivotArea collapsedLevelsAreSubtotals="1" fieldPosition="0">
        <references count="1">
          <reference field="2" count="1">
            <x v="1"/>
          </reference>
        </references>
      </pivotArea>
    </format>
    <format dxfId="43">
      <pivotArea collapsedLevelsAreSubtotals="1" fieldPosition="0">
        <references count="2">
          <reference field="1" count="4">
            <x v="0"/>
            <x v="1"/>
            <x v="2"/>
            <x v="3"/>
          </reference>
          <reference field="2" count="1" selected="0">
            <x v="1"/>
          </reference>
        </references>
      </pivotArea>
    </format>
    <format dxfId="42">
      <pivotArea collapsedLevelsAreSubtotals="1" fieldPosition="0">
        <references count="2">
          <reference field="1" count="3">
            <x v="4"/>
            <x v="5"/>
            <x v="6"/>
          </reference>
          <reference field="2" count="1" selected="0">
            <x v="0"/>
          </reference>
        </references>
      </pivotArea>
    </format>
    <format dxfId="41">
      <pivotArea collapsedLevelsAreSubtotals="1" fieldPosition="0">
        <references count="1">
          <reference field="2" count="1">
            <x v="1"/>
          </reference>
        </references>
      </pivotArea>
    </format>
    <format dxfId="40">
      <pivotArea collapsedLevelsAreSubtotals="1" fieldPosition="0">
        <references count="2">
          <reference field="1" count="4">
            <x v="0"/>
            <x v="1"/>
            <x v="2"/>
            <x v="3"/>
          </reference>
          <reference field="2" count="1" selected="0">
            <x v="1"/>
          </reference>
        </references>
      </pivotArea>
    </format>
    <format dxfId="39">
      <pivotArea collapsedLevelsAreSubtotals="1" fieldPosition="0">
        <references count="2">
          <reference field="1" count="3">
            <x v="4"/>
            <x v="5"/>
            <x v="6"/>
          </reference>
          <reference field="2" count="1" selected="0">
            <x v="0"/>
          </reference>
        </references>
      </pivotArea>
    </format>
    <format dxfId="38">
      <pivotArea collapsedLevelsAreSubtotals="1" fieldPosition="0">
        <references count="1">
          <reference field="2" count="1">
            <x v="1"/>
          </reference>
        </references>
      </pivotArea>
    </format>
    <format dxfId="37">
      <pivotArea collapsedLevelsAreSubtotals="1" fieldPosition="0">
        <references count="2">
          <reference field="1" count="4">
            <x v="0"/>
            <x v="1"/>
            <x v="2"/>
            <x v="3"/>
          </reference>
          <reference field="2" count="1" selected="0">
            <x v="1"/>
          </reference>
        </references>
      </pivotArea>
    </format>
    <format dxfId="36">
      <pivotArea collapsedLevelsAreSubtotals="1" fieldPosition="0">
        <references count="2">
          <reference field="1" count="3">
            <x v="4"/>
            <x v="5"/>
            <x v="6"/>
          </reference>
          <reference field="2" count="1" selected="0">
            <x v="0"/>
          </reference>
        </references>
      </pivotArea>
    </format>
    <format dxfId="35">
      <pivotArea collapsedLevelsAreSubtotals="1" fieldPosition="0">
        <references count="1">
          <reference field="2" count="1">
            <x v="1"/>
          </reference>
        </references>
      </pivotArea>
    </format>
    <format dxfId="34">
      <pivotArea collapsedLevelsAreSubtotals="1" fieldPosition="0">
        <references count="2">
          <reference field="1" count="4">
            <x v="0"/>
            <x v="1"/>
            <x v="2"/>
            <x v="3"/>
          </reference>
          <reference field="2" count="1" selected="0">
            <x v="1"/>
          </reference>
        </references>
      </pivotArea>
    </format>
    <format dxfId="33">
      <pivotArea grandRow="1" outline="0" collapsedLevelsAreSubtotals="1" fieldPosition="0"/>
    </format>
    <format dxfId="32">
      <pivotArea grandRow="1" outline="0" collapsedLevelsAreSubtotals="1" fieldPosition="0"/>
    </format>
    <format dxfId="31">
      <pivotArea grandRow="1" outline="0" collapsedLevelsAreSubtotals="1" fieldPosition="0"/>
    </format>
    <format dxfId="30">
      <pivotArea grandRow="1" outline="0" collapsedLevelsAreSubtotals="1" fieldPosition="0"/>
    </format>
    <format dxfId="29">
      <pivotArea grandRow="1" outline="0" collapsedLevelsAreSubtotals="1" fieldPosition="0"/>
    </format>
    <format dxfId="28">
      <pivotArea field="2" type="button" dataOnly="0" labelOnly="1" outline="0" axis="axisRow" fieldPosition="0"/>
    </format>
    <format dxfId="27">
      <pivotArea outline="0" collapsedLevelsAreSubtotals="1" fieldPosition="0"/>
    </format>
    <format dxfId="26">
      <pivotArea dataOnly="0" labelOnly="1" outline="0" axis="axisValues" fieldPosition="0"/>
    </format>
  </formats>
  <conditionalFormats count="1">
    <conditionalFormat scope="field" priority="1">
      <pivotAreas count="1">
        <pivotArea outline="0" collapsedLevelsAreSubtotals="1" fieldPosition="0">
          <references count="2">
            <reference field="4294967294" count="1" selected="0">
              <x v="0"/>
            </reference>
            <reference field="0" count="0" selected="0"/>
          </references>
        </pivotArea>
      </pivotAreas>
    </conditionalFormat>
  </conditional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chartFormat="13">
  <location ref="I7:J12" firstHeaderRow="1" firstDataRow="1" firstDataCol="1"/>
  <pivotFields count="5">
    <pivotField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h="1" x="3"/>
        <item h="1" x="1"/>
        <item x="4"/>
        <item h="1" x="2"/>
        <item sd="0" x="0"/>
        <item t="default"/>
      </items>
      <autoSortScope>
        <pivotArea dataOnly="0" outline="0" fieldPosition="0">
          <references count="1">
            <reference field="4294967294" count="1" selected="0">
              <x v="0"/>
            </reference>
          </references>
        </pivotArea>
      </autoSortScope>
    </pivotField>
    <pivotField showAll="0" sortType="de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 dragToRow="0" dragToCol="0" dragToPage="0" showAll="0" defaultSubtotal="0"/>
  </pivotFields>
  <rowFields count="1">
    <field x="1"/>
  </rowFields>
  <rowItems count="5">
    <i>
      <x v="6"/>
    </i>
    <i>
      <x v="1"/>
    </i>
    <i>
      <x v="4"/>
    </i>
    <i>
      <x/>
    </i>
    <i t="grand">
      <x/>
    </i>
  </rowItems>
  <colItems count="1">
    <i/>
  </colItems>
  <dataFields count="1">
    <dataField name="Sum of Salary" fld="3" baseField="0" baseItem="4" numFmtId="3"/>
  </dataFields>
  <formats count="6">
    <format dxfId="5">
      <pivotArea grandRow="1" outline="0" collapsedLevelsAreSubtotals="1" fieldPosition="0"/>
    </format>
    <format dxfId="4">
      <pivotArea grandRow="1" outline="0" collapsedLevelsAreSubtotals="1" fieldPosition="0"/>
    </format>
    <format dxfId="3">
      <pivotArea grandRow="1" outline="0" collapsedLevelsAreSubtotals="1" fieldPosition="0"/>
    </format>
    <format dxfId="2">
      <pivotArea grandRow="1" outline="0" collapsedLevelsAreSubtotals="1" fieldPosition="0"/>
    </format>
    <format dxfId="1">
      <pivotArea grandRow="1" outline="0" collapsedLevelsAreSubtotals="1" fieldPosition="0"/>
    </format>
    <format dxfId="0">
      <pivotArea outline="0" fieldPosition="0">
        <references count="1">
          <reference field="4294967294" count="1">
            <x v="0"/>
          </reference>
        </references>
      </pivotArea>
    </format>
  </formats>
  <chartFormats count="7">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Nearest_Manager" sourceName="Nearest Manager">
  <pivotTables>
    <pivotTable tabId="17" name="PivotTable9"/>
  </pivotTables>
  <data>
    <tabular pivotCacheId="1">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earest Manager" cache="Slicer_Nearest_Manager" caption="Nearest Manager" rowHeight="2417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6"/>
  <sheetViews>
    <sheetView showGridLines="0" tabSelected="1" zoomScale="145" zoomScaleNormal="145" workbookViewId="0">
      <selection activeCell="A5" sqref="A5"/>
    </sheetView>
  </sheetViews>
  <sheetFormatPr defaultColWidth="9.09765625" defaultRowHeight="14.4" x14ac:dyDescent="0.3"/>
  <cols>
    <col min="1" max="1" width="5.3984375" style="4" customWidth="1"/>
    <col min="2" max="5" width="13.69921875" style="4" customWidth="1"/>
    <col min="6" max="6" width="6.3984375" style="4" customWidth="1"/>
    <col min="7" max="7" width="9.09765625" style="4"/>
    <col min="8" max="8" width="10.296875" style="4" customWidth="1"/>
    <col min="9" max="11" width="9.09765625" style="4"/>
    <col min="12" max="12" width="9.69921875" style="4" customWidth="1"/>
    <col min="13" max="13" width="9.09765625" style="4" customWidth="1"/>
    <col min="14" max="16384" width="9.09765625" style="4"/>
  </cols>
  <sheetData>
    <row r="1" spans="1:12" ht="18.7" customHeight="1" x14ac:dyDescent="0.3">
      <c r="A1" s="1"/>
      <c r="B1" s="2"/>
      <c r="C1" s="2"/>
      <c r="D1" s="2"/>
      <c r="E1" s="2"/>
      <c r="F1" s="3"/>
    </row>
    <row r="2" spans="1:12" ht="18.7" customHeight="1" x14ac:dyDescent="0.3">
      <c r="A2" s="5"/>
      <c r="B2" s="6"/>
      <c r="C2" s="6"/>
      <c r="D2" s="6"/>
      <c r="E2" s="6"/>
      <c r="F2" s="7"/>
    </row>
    <row r="3" spans="1:12" ht="18.7" customHeight="1" thickBot="1" x14ac:dyDescent="0.35">
      <c r="A3" s="5"/>
      <c r="B3" s="6"/>
      <c r="C3" s="6"/>
      <c r="D3" s="6"/>
      <c r="E3" s="6"/>
      <c r="F3" s="7"/>
    </row>
    <row r="4" spans="1:12" ht="18.7" customHeight="1" thickBot="1" x14ac:dyDescent="0.4">
      <c r="A4" s="5"/>
      <c r="B4" s="6"/>
      <c r="C4" s="6"/>
      <c r="D4" s="6"/>
      <c r="E4" s="6"/>
      <c r="F4" s="7"/>
      <c r="I4" s="66" t="s">
        <v>14</v>
      </c>
      <c r="J4" s="67"/>
      <c r="K4" s="68"/>
    </row>
    <row r="5" spans="1:12" ht="14.95" customHeight="1" thickTop="1" x14ac:dyDescent="0.3">
      <c r="A5" s="8"/>
      <c r="B5" s="69" t="s">
        <v>4</v>
      </c>
      <c r="C5" s="69"/>
      <c r="D5" s="69"/>
      <c r="E5" s="69"/>
      <c r="F5" s="10"/>
      <c r="H5" s="73" t="s">
        <v>9</v>
      </c>
      <c r="I5" s="74"/>
      <c r="J5" s="74"/>
      <c r="K5" s="74"/>
      <c r="L5" s="75"/>
    </row>
    <row r="6" spans="1:12" ht="14.95" customHeight="1" x14ac:dyDescent="0.3">
      <c r="A6" s="8"/>
      <c r="B6" s="69"/>
      <c r="C6" s="69"/>
      <c r="D6" s="69"/>
      <c r="E6" s="69"/>
      <c r="F6" s="10"/>
      <c r="H6" s="70" t="s">
        <v>11</v>
      </c>
      <c r="I6" s="71"/>
      <c r="J6" s="71"/>
      <c r="K6" s="71"/>
      <c r="L6" s="72"/>
    </row>
    <row r="7" spans="1:12" x14ac:dyDescent="0.3">
      <c r="A7" s="8"/>
      <c r="B7" s="9" t="s">
        <v>5</v>
      </c>
      <c r="C7" s="9"/>
      <c r="D7" s="9"/>
      <c r="E7" s="9"/>
      <c r="F7" s="10"/>
      <c r="H7" s="16"/>
      <c r="I7" s="9"/>
      <c r="J7" s="9"/>
      <c r="K7" s="9"/>
      <c r="L7" s="17"/>
    </row>
    <row r="8" spans="1:12" x14ac:dyDescent="0.3">
      <c r="A8" s="8"/>
      <c r="B8" s="9"/>
      <c r="C8" s="9"/>
      <c r="D8" s="9"/>
      <c r="E8" s="9"/>
      <c r="F8" s="10"/>
      <c r="H8" s="16"/>
      <c r="I8" s="9"/>
      <c r="J8" s="9"/>
      <c r="K8" s="9"/>
      <c r="L8" s="17"/>
    </row>
    <row r="9" spans="1:12" x14ac:dyDescent="0.3">
      <c r="A9" s="8"/>
      <c r="B9" s="9" t="s">
        <v>129</v>
      </c>
      <c r="C9" s="9"/>
      <c r="D9" s="9"/>
      <c r="E9" s="9"/>
      <c r="F9" s="10"/>
      <c r="H9" s="16"/>
      <c r="I9" s="9"/>
      <c r="J9" s="9"/>
      <c r="K9" s="9"/>
      <c r="L9" s="17"/>
    </row>
    <row r="10" spans="1:12" x14ac:dyDescent="0.3">
      <c r="A10" s="8"/>
      <c r="B10" s="9" t="s">
        <v>6</v>
      </c>
      <c r="C10" s="9"/>
      <c r="D10" s="9"/>
      <c r="E10" s="9"/>
      <c r="F10" s="10"/>
      <c r="H10" s="16"/>
      <c r="I10" s="9"/>
      <c r="J10" s="9"/>
      <c r="K10" s="9"/>
      <c r="L10" s="17"/>
    </row>
    <row r="11" spans="1:12" x14ac:dyDescent="0.3">
      <c r="A11" s="8"/>
      <c r="E11" s="9"/>
      <c r="F11" s="10"/>
      <c r="H11" s="16"/>
      <c r="I11" s="9"/>
      <c r="J11" s="9"/>
      <c r="K11" s="9"/>
      <c r="L11" s="17"/>
    </row>
    <row r="12" spans="1:12" x14ac:dyDescent="0.3">
      <c r="A12" s="8"/>
      <c r="B12" s="14" t="s">
        <v>12</v>
      </c>
      <c r="E12" s="9"/>
      <c r="F12" s="10"/>
      <c r="H12" s="16"/>
      <c r="I12" s="9"/>
      <c r="J12" s="9"/>
      <c r="K12" s="9"/>
      <c r="L12" s="17"/>
    </row>
    <row r="13" spans="1:12" x14ac:dyDescent="0.3">
      <c r="A13" s="8"/>
      <c r="E13" s="9"/>
      <c r="F13" s="10"/>
      <c r="H13" s="16"/>
      <c r="I13" s="9"/>
      <c r="J13" s="9"/>
      <c r="K13" s="9"/>
      <c r="L13" s="17"/>
    </row>
    <row r="14" spans="1:12" x14ac:dyDescent="0.3">
      <c r="A14" s="8"/>
      <c r="B14" s="14" t="s">
        <v>13</v>
      </c>
      <c r="E14" s="9"/>
      <c r="F14" s="10"/>
      <c r="H14" s="16"/>
      <c r="I14" s="9"/>
      <c r="J14" s="9"/>
      <c r="K14" s="9"/>
      <c r="L14" s="17"/>
    </row>
    <row r="15" spans="1:12" x14ac:dyDescent="0.3">
      <c r="A15" s="8"/>
      <c r="B15" s="4" t="s">
        <v>10</v>
      </c>
      <c r="E15" s="9"/>
      <c r="F15" s="10"/>
      <c r="H15" s="16"/>
      <c r="I15" s="9"/>
      <c r="J15" s="9"/>
      <c r="K15" s="9"/>
      <c r="L15" s="17"/>
    </row>
    <row r="16" spans="1:12" ht="15.8" customHeight="1" x14ac:dyDescent="0.3">
      <c r="A16" s="8"/>
      <c r="E16" s="9"/>
      <c r="F16" s="10"/>
      <c r="H16" s="16"/>
      <c r="I16" s="9"/>
      <c r="J16" s="9"/>
      <c r="K16" s="9"/>
      <c r="L16" s="17"/>
    </row>
    <row r="17" spans="1:12" ht="15.8" customHeight="1" x14ac:dyDescent="0.3">
      <c r="A17" s="8"/>
      <c r="B17" s="4" t="s">
        <v>7</v>
      </c>
      <c r="E17" s="9"/>
      <c r="F17" s="10"/>
      <c r="H17" s="70" t="s">
        <v>16</v>
      </c>
      <c r="I17" s="71"/>
      <c r="J17" s="71"/>
      <c r="K17" s="71"/>
      <c r="L17" s="72"/>
    </row>
    <row r="18" spans="1:12" ht="14.95" customHeight="1" thickBot="1" x14ac:dyDescent="0.35">
      <c r="A18" s="8"/>
      <c r="B18" s="4" t="s">
        <v>8</v>
      </c>
      <c r="E18" s="9"/>
      <c r="F18" s="10"/>
      <c r="H18" s="63" t="s">
        <v>15</v>
      </c>
      <c r="I18" s="64"/>
      <c r="J18" s="64"/>
      <c r="K18" s="64"/>
      <c r="L18" s="65"/>
    </row>
    <row r="19" spans="1:12" ht="14.95" thickTop="1" x14ac:dyDescent="0.3">
      <c r="A19" s="8"/>
      <c r="E19" s="9"/>
      <c r="F19" s="10"/>
    </row>
    <row r="20" spans="1:12" x14ac:dyDescent="0.3">
      <c r="A20" s="8"/>
      <c r="B20" s="18" t="s">
        <v>18</v>
      </c>
      <c r="E20" s="9"/>
      <c r="F20" s="10"/>
    </row>
    <row r="21" spans="1:12" x14ac:dyDescent="0.3">
      <c r="A21" s="8"/>
      <c r="B21" s="18" t="s">
        <v>17</v>
      </c>
      <c r="E21" s="9"/>
      <c r="F21" s="10"/>
    </row>
    <row r="22" spans="1:12" x14ac:dyDescent="0.3">
      <c r="A22" s="8"/>
      <c r="B22" s="9"/>
      <c r="C22" s="9"/>
      <c r="D22" s="9"/>
      <c r="E22" s="9"/>
      <c r="F22" s="10"/>
    </row>
    <row r="23" spans="1:12" x14ac:dyDescent="0.3">
      <c r="A23" s="8"/>
      <c r="B23" s="9" t="s">
        <v>0</v>
      </c>
      <c r="C23" s="9"/>
      <c r="D23" s="9"/>
      <c r="E23" s="9"/>
      <c r="F23" s="10"/>
    </row>
    <row r="24" spans="1:12" x14ac:dyDescent="0.3">
      <c r="A24" s="8"/>
      <c r="B24" s="9" t="s">
        <v>1</v>
      </c>
      <c r="C24" s="9"/>
      <c r="D24" s="9"/>
      <c r="E24" s="9"/>
      <c r="F24" s="10"/>
    </row>
    <row r="25" spans="1:12" x14ac:dyDescent="0.3">
      <c r="A25" s="8"/>
      <c r="B25" s="9" t="s">
        <v>2</v>
      </c>
      <c r="C25" s="15" t="s">
        <v>3</v>
      </c>
      <c r="D25" s="9"/>
      <c r="E25" s="9"/>
      <c r="F25" s="10"/>
    </row>
    <row r="26" spans="1:12" ht="14.95" thickBot="1" x14ac:dyDescent="0.35">
      <c r="A26" s="11"/>
      <c r="B26" s="12"/>
      <c r="C26" s="12"/>
      <c r="D26" s="12"/>
      <c r="E26" s="12"/>
      <c r="F26" s="13"/>
    </row>
  </sheetData>
  <mergeCells count="6">
    <mergeCell ref="H18:L18"/>
    <mergeCell ref="I4:K4"/>
    <mergeCell ref="B5:E6"/>
    <mergeCell ref="H17:L17"/>
    <mergeCell ref="H5:L5"/>
    <mergeCell ref="H6:L6"/>
  </mergeCells>
  <hyperlinks>
    <hyperlink ref="C25" r:id="rId1"/>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37"/>
  <sheetViews>
    <sheetView showGridLines="0" topLeftCell="A18" zoomScale="130" zoomScaleNormal="130" workbookViewId="0">
      <selection activeCell="J35" sqref="J35"/>
    </sheetView>
  </sheetViews>
  <sheetFormatPr defaultColWidth="8.8984375" defaultRowHeight="14.4" x14ac:dyDescent="0.3"/>
  <cols>
    <col min="1" max="1" width="8.8984375" style="19"/>
    <col min="2" max="2" width="8.8984375" style="4"/>
    <col min="3" max="3" width="17" style="4" customWidth="1"/>
    <col min="4" max="4" width="14.59765625" style="4" bestFit="1" customWidth="1"/>
    <col min="5" max="5" width="11" style="4" bestFit="1" customWidth="1"/>
    <col min="6" max="6" width="8.8984375" style="4"/>
    <col min="7" max="7" width="25.09765625" style="4" bestFit="1" customWidth="1"/>
    <col min="8" max="8" width="9.8984375" style="4" customWidth="1"/>
    <col min="9" max="9" width="8.8984375" style="4"/>
    <col min="10" max="10" width="13.09765625" style="4" bestFit="1" customWidth="1"/>
    <col min="11" max="11" width="12.8984375" style="4" customWidth="1"/>
    <col min="12" max="12" width="12.296875" style="4" customWidth="1"/>
    <col min="13" max="16384" width="8.8984375" style="4"/>
  </cols>
  <sheetData>
    <row r="1" spans="1:13" x14ac:dyDescent="0.3">
      <c r="A1" s="76" t="s">
        <v>130</v>
      </c>
      <c r="B1" s="76"/>
      <c r="C1" s="76"/>
      <c r="D1" s="76"/>
      <c r="E1" s="76"/>
      <c r="F1" s="76"/>
      <c r="G1" s="76"/>
      <c r="H1" s="76"/>
      <c r="I1" s="76"/>
    </row>
    <row r="2" spans="1:13" x14ac:dyDescent="0.3">
      <c r="A2" s="76"/>
      <c r="B2" s="76"/>
      <c r="C2" s="76"/>
      <c r="D2" s="76"/>
      <c r="E2" s="76"/>
      <c r="F2" s="76"/>
      <c r="G2" s="76"/>
      <c r="H2" s="76"/>
      <c r="I2" s="76"/>
    </row>
    <row r="3" spans="1:13" x14ac:dyDescent="0.3">
      <c r="G3" s="77" t="s">
        <v>23</v>
      </c>
    </row>
    <row r="4" spans="1:13" x14ac:dyDescent="0.3">
      <c r="B4" s="18"/>
      <c r="G4" s="77"/>
    </row>
    <row r="5" spans="1:13" x14ac:dyDescent="0.3">
      <c r="G5" s="77"/>
    </row>
    <row r="6" spans="1:13" x14ac:dyDescent="0.3">
      <c r="A6" s="19" t="s">
        <v>19</v>
      </c>
      <c r="B6" s="4" t="s">
        <v>26</v>
      </c>
      <c r="G6" s="20" t="s">
        <v>29</v>
      </c>
    </row>
    <row r="7" spans="1:13" x14ac:dyDescent="0.3">
      <c r="B7" s="4" t="s">
        <v>131</v>
      </c>
    </row>
    <row r="9" spans="1:13" x14ac:dyDescent="0.3">
      <c r="A9" s="19" t="s">
        <v>20</v>
      </c>
      <c r="B9" s="4" t="s">
        <v>27</v>
      </c>
      <c r="G9" s="20" t="s">
        <v>29</v>
      </c>
      <c r="J9"/>
      <c r="K9"/>
      <c r="L9"/>
    </row>
    <row r="10" spans="1:13" x14ac:dyDescent="0.3">
      <c r="B10" s="4" t="s">
        <v>132</v>
      </c>
      <c r="J10" s="22"/>
      <c r="K10" s="23"/>
      <c r="L10"/>
    </row>
    <row r="11" spans="1:13" x14ac:dyDescent="0.3">
      <c r="J11" s="22"/>
      <c r="K11" s="23"/>
      <c r="L11"/>
    </row>
    <row r="12" spans="1:13" x14ac:dyDescent="0.3">
      <c r="J12" s="22"/>
      <c r="K12" s="23"/>
      <c r="L12"/>
      <c r="M12"/>
    </row>
    <row r="13" spans="1:13" x14ac:dyDescent="0.3">
      <c r="A13" s="19" t="s">
        <v>21</v>
      </c>
      <c r="B13" s="4" t="s">
        <v>134</v>
      </c>
      <c r="G13"/>
      <c r="J13" s="22"/>
      <c r="K13" s="23"/>
      <c r="L13"/>
      <c r="M13"/>
    </row>
    <row r="14" spans="1:13" x14ac:dyDescent="0.3">
      <c r="B14" s="4" t="s">
        <v>55</v>
      </c>
      <c r="J14" s="22"/>
      <c r="K14" s="23"/>
      <c r="L14"/>
      <c r="M14"/>
    </row>
    <row r="15" spans="1:13" x14ac:dyDescent="0.3">
      <c r="J15" s="22"/>
      <c r="K15" s="23"/>
      <c r="L15"/>
      <c r="M15"/>
    </row>
    <row r="16" spans="1:13" x14ac:dyDescent="0.3">
      <c r="A16" s="19" t="s">
        <v>22</v>
      </c>
      <c r="B16" s="4" t="s">
        <v>30</v>
      </c>
      <c r="J16"/>
      <c r="K16"/>
      <c r="L16"/>
      <c r="M16"/>
    </row>
    <row r="17" spans="2:13" x14ac:dyDescent="0.3">
      <c r="B17" s="4" t="s">
        <v>133</v>
      </c>
      <c r="J17"/>
      <c r="K17"/>
      <c r="L17"/>
      <c r="M17"/>
    </row>
    <row r="18" spans="2:13" x14ac:dyDescent="0.3">
      <c r="J18"/>
      <c r="K18"/>
      <c r="L18"/>
      <c r="M18"/>
    </row>
    <row r="19" spans="2:13" x14ac:dyDescent="0.3">
      <c r="C19" s="18" t="s">
        <v>25</v>
      </c>
      <c r="G19" t="s">
        <v>21</v>
      </c>
      <c r="J19"/>
      <c r="K19"/>
      <c r="L19"/>
      <c r="M19"/>
    </row>
    <row r="20" spans="2:13" x14ac:dyDescent="0.3">
      <c r="C20" s="29" t="s">
        <v>33</v>
      </c>
      <c r="D20" s="4" t="s">
        <v>34</v>
      </c>
      <c r="E20" s="30" t="s">
        <v>35</v>
      </c>
      <c r="G20" s="21" t="s">
        <v>31</v>
      </c>
      <c r="H20" t="s">
        <v>54</v>
      </c>
      <c r="J20"/>
      <c r="K20"/>
      <c r="L20"/>
      <c r="M20"/>
    </row>
    <row r="21" spans="2:13" x14ac:dyDescent="0.3">
      <c r="C21" s="29" t="s">
        <v>36</v>
      </c>
      <c r="D21" s="4" t="s">
        <v>37</v>
      </c>
      <c r="E21" s="30">
        <v>45000</v>
      </c>
      <c r="G21" s="22" t="s">
        <v>46</v>
      </c>
      <c r="H21" s="23">
        <v>97000</v>
      </c>
      <c r="J21"/>
      <c r="K21"/>
      <c r="L21"/>
      <c r="M21"/>
    </row>
    <row r="22" spans="2:13" x14ac:dyDescent="0.3">
      <c r="C22" s="29" t="s">
        <v>38</v>
      </c>
      <c r="D22" s="4" t="s">
        <v>37</v>
      </c>
      <c r="E22" s="30">
        <v>59000</v>
      </c>
      <c r="G22" s="22" t="s">
        <v>41</v>
      </c>
      <c r="H22" s="23">
        <v>133000</v>
      </c>
      <c r="J22"/>
      <c r="K22"/>
      <c r="L22"/>
      <c r="M22"/>
    </row>
    <row r="23" spans="2:13" x14ac:dyDescent="0.3">
      <c r="C23" s="29" t="s">
        <v>39</v>
      </c>
      <c r="D23" s="4" t="s">
        <v>37</v>
      </c>
      <c r="E23" s="30">
        <v>54000</v>
      </c>
      <c r="G23" s="22" t="s">
        <v>48</v>
      </c>
      <c r="H23" s="23">
        <v>59000</v>
      </c>
      <c r="J23"/>
      <c r="K23"/>
      <c r="L23"/>
      <c r="M23"/>
    </row>
    <row r="24" spans="2:13" x14ac:dyDescent="0.3">
      <c r="C24" s="29" t="s">
        <v>40</v>
      </c>
      <c r="D24" s="4" t="s">
        <v>41</v>
      </c>
      <c r="E24" s="30">
        <v>44000</v>
      </c>
      <c r="G24" s="22" t="s">
        <v>43</v>
      </c>
      <c r="H24" s="23">
        <v>45000</v>
      </c>
      <c r="J24"/>
      <c r="K24"/>
      <c r="L24"/>
      <c r="M24"/>
    </row>
    <row r="25" spans="2:13" x14ac:dyDescent="0.3">
      <c r="C25" s="29" t="s">
        <v>42</v>
      </c>
      <c r="D25" s="4" t="s">
        <v>43</v>
      </c>
      <c r="E25" s="30">
        <v>45000</v>
      </c>
      <c r="G25" s="22" t="s">
        <v>37</v>
      </c>
      <c r="H25" s="23">
        <v>220000</v>
      </c>
      <c r="J25"/>
      <c r="K25"/>
      <c r="L25"/>
      <c r="M25"/>
    </row>
    <row r="26" spans="2:13" x14ac:dyDescent="0.3">
      <c r="C26" s="29" t="s">
        <v>44</v>
      </c>
      <c r="D26" s="4" t="s">
        <v>41</v>
      </c>
      <c r="E26" s="30">
        <v>47000</v>
      </c>
      <c r="G26" s="22" t="s">
        <v>32</v>
      </c>
      <c r="H26" s="23">
        <v>554000</v>
      </c>
      <c r="J26"/>
      <c r="K26"/>
      <c r="L26"/>
      <c r="M26"/>
    </row>
    <row r="27" spans="2:13" x14ac:dyDescent="0.3">
      <c r="C27" s="29" t="s">
        <v>45</v>
      </c>
      <c r="D27" s="4" t="s">
        <v>46</v>
      </c>
      <c r="E27" s="30">
        <v>40000</v>
      </c>
      <c r="K27"/>
      <c r="L27"/>
      <c r="M27"/>
    </row>
    <row r="28" spans="2:13" x14ac:dyDescent="0.3">
      <c r="C28" s="29" t="s">
        <v>47</v>
      </c>
      <c r="D28" s="4" t="s">
        <v>48</v>
      </c>
      <c r="E28" s="30">
        <v>59000</v>
      </c>
      <c r="G28" s="4" t="s">
        <v>22</v>
      </c>
      <c r="K28"/>
      <c r="L28"/>
      <c r="M28"/>
    </row>
    <row r="29" spans="2:13" x14ac:dyDescent="0.3">
      <c r="C29" s="29" t="s">
        <v>52</v>
      </c>
      <c r="D29" s="4" t="s">
        <v>46</v>
      </c>
      <c r="E29" s="30">
        <v>57000</v>
      </c>
      <c r="G29" s="21" t="s">
        <v>31</v>
      </c>
      <c r="H29" t="s">
        <v>54</v>
      </c>
      <c r="K29"/>
      <c r="L29"/>
      <c r="M29"/>
    </row>
    <row r="30" spans="2:13" x14ac:dyDescent="0.3">
      <c r="C30" s="29" t="s">
        <v>50</v>
      </c>
      <c r="D30" s="4" t="s">
        <v>41</v>
      </c>
      <c r="E30" s="30">
        <v>42000</v>
      </c>
      <c r="G30" s="22" t="s">
        <v>46</v>
      </c>
      <c r="H30" s="23">
        <v>97000</v>
      </c>
    </row>
    <row r="31" spans="2:13" x14ac:dyDescent="0.3">
      <c r="C31" s="29" t="s">
        <v>51</v>
      </c>
      <c r="D31" s="4" t="s">
        <v>37</v>
      </c>
      <c r="E31" s="30">
        <v>62000</v>
      </c>
      <c r="G31" s="22" t="s">
        <v>41</v>
      </c>
      <c r="H31" s="23">
        <v>133000</v>
      </c>
    </row>
    <row r="32" spans="2:13" x14ac:dyDescent="0.3">
      <c r="G32" s="22" t="s">
        <v>48</v>
      </c>
      <c r="H32" s="23">
        <v>59000</v>
      </c>
    </row>
    <row r="33" spans="3:8" x14ac:dyDescent="0.3">
      <c r="C33" s="18" t="s">
        <v>53</v>
      </c>
      <c r="G33" s="22" t="s">
        <v>43</v>
      </c>
      <c r="H33" s="23">
        <v>45000</v>
      </c>
    </row>
    <row r="34" spans="3:8" x14ac:dyDescent="0.3">
      <c r="C34" s="29" t="s">
        <v>33</v>
      </c>
      <c r="D34" s="4" t="s">
        <v>34</v>
      </c>
      <c r="E34" s="30" t="s">
        <v>35</v>
      </c>
      <c r="G34" s="22" t="s">
        <v>37</v>
      </c>
      <c r="H34" s="23">
        <v>323000</v>
      </c>
    </row>
    <row r="35" spans="3:8" x14ac:dyDescent="0.3">
      <c r="C35" s="29" t="s">
        <v>56</v>
      </c>
      <c r="D35" s="4" t="s">
        <v>37</v>
      </c>
      <c r="E35" s="30">
        <v>42000</v>
      </c>
      <c r="G35" s="22" t="s">
        <v>156</v>
      </c>
      <c r="H35" s="23"/>
    </row>
    <row r="36" spans="3:8" x14ac:dyDescent="0.3">
      <c r="C36" s="29" t="s">
        <v>57</v>
      </c>
      <c r="D36" s="4" t="s">
        <v>37</v>
      </c>
      <c r="E36" s="30">
        <v>61000</v>
      </c>
      <c r="G36" s="22" t="s">
        <v>34</v>
      </c>
      <c r="H36" s="23">
        <v>0</v>
      </c>
    </row>
    <row r="37" spans="3:8" x14ac:dyDescent="0.3">
      <c r="G37" s="22" t="s">
        <v>32</v>
      </c>
      <c r="H37" s="23">
        <v>657000</v>
      </c>
    </row>
  </sheetData>
  <mergeCells count="2">
    <mergeCell ref="A1:I2"/>
    <mergeCell ref="G3:G5"/>
  </mergeCell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14:formula1>
            <xm:f>AnswerOptions!$A$2:$A$5</xm:f>
          </x14:formula1>
          <xm:sqref>G6</xm:sqref>
        </x14:dataValidation>
        <x14:dataValidation type="list" allowBlank="1" showInputMessage="1" showErrorMessage="1" error="Use the drop-down menu to select your answer :)">
          <x14:formula1>
            <xm:f>AnswerOptions!$B$2:$B$5</xm:f>
          </x14:formula1>
          <xm:sqref>G9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91"/>
  <sheetViews>
    <sheetView showGridLines="0" zoomScale="145" zoomScaleNormal="145" workbookViewId="0">
      <selection activeCell="H31" sqref="H31"/>
    </sheetView>
  </sheetViews>
  <sheetFormatPr defaultColWidth="8.8984375" defaultRowHeight="14.4" x14ac:dyDescent="0.3"/>
  <cols>
    <col min="1" max="1" width="8.8984375" style="19" customWidth="1"/>
    <col min="2" max="2" width="8.8984375" style="4"/>
    <col min="3" max="3" width="17" style="4" customWidth="1"/>
    <col min="4" max="4" width="14.59765625" style="4" bestFit="1" customWidth="1"/>
    <col min="5" max="5" width="11" style="4" bestFit="1" customWidth="1"/>
    <col min="6" max="6" width="8.8984375" style="4"/>
    <col min="7" max="7" width="15.296875" style="4" customWidth="1"/>
    <col min="8" max="8" width="15" style="4" customWidth="1"/>
    <col min="9" max="9" width="12.19921875" style="4" customWidth="1"/>
    <col min="10" max="10" width="10.19921875" style="4" customWidth="1"/>
    <col min="11" max="11" width="10.8984375" style="4" customWidth="1"/>
    <col min="12" max="12" width="7.3984375" style="4" customWidth="1"/>
    <col min="13" max="13" width="10.09765625" style="4" bestFit="1" customWidth="1"/>
    <col min="14" max="14" width="10.69921875" style="4" bestFit="1" customWidth="1"/>
    <col min="15" max="15" width="7.3984375" style="4" customWidth="1"/>
    <col min="16" max="16" width="11.296875" style="4" bestFit="1" customWidth="1"/>
    <col min="17" max="16384" width="8.8984375" style="4"/>
  </cols>
  <sheetData>
    <row r="1" spans="1:16" x14ac:dyDescent="0.3">
      <c r="A1" s="76" t="s">
        <v>135</v>
      </c>
      <c r="B1" s="76"/>
      <c r="C1" s="76"/>
      <c r="D1" s="76"/>
      <c r="E1" s="76"/>
      <c r="F1" s="76"/>
      <c r="G1" s="76"/>
      <c r="H1" s="76"/>
      <c r="I1" s="76"/>
    </row>
    <row r="2" spans="1:16" x14ac:dyDescent="0.3">
      <c r="A2" s="76"/>
      <c r="B2" s="76"/>
      <c r="C2" s="76"/>
      <c r="D2" s="76"/>
      <c r="E2" s="76"/>
      <c r="F2" s="76"/>
      <c r="G2" s="76"/>
      <c r="H2" s="76"/>
      <c r="I2" s="76"/>
    </row>
    <row r="3" spans="1:16" x14ac:dyDescent="0.3">
      <c r="G3" s="77"/>
    </row>
    <row r="4" spans="1:16" x14ac:dyDescent="0.3">
      <c r="B4" s="18"/>
      <c r="G4" s="77"/>
    </row>
    <row r="5" spans="1:16" x14ac:dyDescent="0.3">
      <c r="G5" s="77"/>
    </row>
    <row r="6" spans="1:16" x14ac:dyDescent="0.3">
      <c r="A6" s="19" t="s">
        <v>19</v>
      </c>
      <c r="B6" s="4" t="s">
        <v>136</v>
      </c>
      <c r="H6" s="4" t="s">
        <v>158</v>
      </c>
      <c r="I6"/>
    </row>
    <row r="7" spans="1:16" x14ac:dyDescent="0.3">
      <c r="B7" s="4" t="s">
        <v>24</v>
      </c>
      <c r="H7" s="21" t="s">
        <v>31</v>
      </c>
      <c r="I7" t="s">
        <v>54</v>
      </c>
      <c r="J7"/>
      <c r="K7"/>
      <c r="L7"/>
      <c r="M7"/>
      <c r="N7"/>
      <c r="O7"/>
      <c r="P7"/>
    </row>
    <row r="8" spans="1:16" x14ac:dyDescent="0.3">
      <c r="B8" s="33"/>
      <c r="H8" s="22" t="s">
        <v>60</v>
      </c>
      <c r="I8" s="23"/>
      <c r="J8"/>
      <c r="K8"/>
      <c r="L8"/>
      <c r="M8"/>
      <c r="N8"/>
      <c r="O8"/>
      <c r="P8"/>
    </row>
    <row r="9" spans="1:16" x14ac:dyDescent="0.3">
      <c r="H9" s="32" t="s">
        <v>48</v>
      </c>
      <c r="I9" s="23">
        <v>254000</v>
      </c>
      <c r="J9"/>
      <c r="K9"/>
      <c r="L9"/>
      <c r="M9"/>
      <c r="N9"/>
      <c r="O9"/>
      <c r="P9"/>
    </row>
    <row r="10" spans="1:16" x14ac:dyDescent="0.3">
      <c r="A10" s="19" t="s">
        <v>20</v>
      </c>
      <c r="B10" s="4" t="s">
        <v>104</v>
      </c>
      <c r="H10" s="32" t="s">
        <v>43</v>
      </c>
      <c r="I10" s="23">
        <v>459000</v>
      </c>
      <c r="J10"/>
      <c r="K10"/>
      <c r="L10"/>
      <c r="M10"/>
      <c r="N10"/>
      <c r="O10"/>
      <c r="P10"/>
    </row>
    <row r="11" spans="1:16" x14ac:dyDescent="0.3">
      <c r="B11" s="4" t="s">
        <v>105</v>
      </c>
      <c r="H11" s="32" t="s">
        <v>37</v>
      </c>
      <c r="I11" s="23">
        <v>771000</v>
      </c>
      <c r="J11"/>
      <c r="K11"/>
      <c r="L11"/>
      <c r="M11"/>
      <c r="N11"/>
      <c r="O11"/>
      <c r="P11"/>
    </row>
    <row r="12" spans="1:16" x14ac:dyDescent="0.3">
      <c r="H12" s="22" t="s">
        <v>69</v>
      </c>
      <c r="I12" s="23"/>
      <c r="J12"/>
      <c r="K12"/>
    </row>
    <row r="13" spans="1:16" x14ac:dyDescent="0.3">
      <c r="H13" s="32" t="s">
        <v>78</v>
      </c>
      <c r="I13" s="23">
        <v>211000</v>
      </c>
      <c r="J13"/>
      <c r="K13"/>
    </row>
    <row r="14" spans="1:16" x14ac:dyDescent="0.3">
      <c r="A14" s="19" t="s">
        <v>21</v>
      </c>
      <c r="B14" s="4" t="s">
        <v>106</v>
      </c>
      <c r="H14" s="32" t="s">
        <v>61</v>
      </c>
      <c r="I14" s="23">
        <v>362000</v>
      </c>
      <c r="J14"/>
      <c r="K14"/>
    </row>
    <row r="15" spans="1:16" x14ac:dyDescent="0.3">
      <c r="B15" s="4" t="s">
        <v>107</v>
      </c>
      <c r="H15" s="32" t="s">
        <v>46</v>
      </c>
      <c r="I15" s="23">
        <v>250000</v>
      </c>
      <c r="J15"/>
      <c r="K15"/>
    </row>
    <row r="16" spans="1:16" x14ac:dyDescent="0.3">
      <c r="H16" s="32" t="s">
        <v>41</v>
      </c>
      <c r="I16" s="23">
        <v>411000</v>
      </c>
      <c r="J16"/>
      <c r="K16"/>
      <c r="L16"/>
    </row>
    <row r="17" spans="1:13" x14ac:dyDescent="0.3">
      <c r="A17" s="19" t="s">
        <v>22</v>
      </c>
      <c r="B17" s="4" t="s">
        <v>108</v>
      </c>
      <c r="H17" s="22" t="s">
        <v>32</v>
      </c>
      <c r="I17" s="23">
        <v>2718000</v>
      </c>
      <c r="J17"/>
      <c r="K17" s="23"/>
      <c r="L17"/>
    </row>
    <row r="18" spans="1:13" x14ac:dyDescent="0.3">
      <c r="B18" s="4" t="s">
        <v>109</v>
      </c>
      <c r="G18"/>
      <c r="H18"/>
      <c r="I18"/>
      <c r="J18" s="22"/>
      <c r="K18" s="23"/>
      <c r="L18"/>
    </row>
    <row r="19" spans="1:13" x14ac:dyDescent="0.3">
      <c r="B19" s="4" t="s">
        <v>137</v>
      </c>
      <c r="G19"/>
      <c r="H19" s="32" t="s">
        <v>20</v>
      </c>
      <c r="I19"/>
      <c r="J19" s="22"/>
      <c r="K19" s="23"/>
      <c r="L19"/>
      <c r="M19"/>
    </row>
    <row r="20" spans="1:13" x14ac:dyDescent="0.3">
      <c r="B20" s="4" t="s">
        <v>110</v>
      </c>
      <c r="C20" s="18"/>
      <c r="G20"/>
      <c r="H20" s="53" t="s">
        <v>31</v>
      </c>
      <c r="I20" s="53" t="s">
        <v>157</v>
      </c>
      <c r="J20" s="22"/>
      <c r="K20" s="23"/>
      <c r="L20"/>
      <c r="M20"/>
    </row>
    <row r="21" spans="1:13" ht="14.95" thickBot="1" x14ac:dyDescent="0.35">
      <c r="B21" s="33" t="s">
        <v>138</v>
      </c>
      <c r="C21" s="29"/>
      <c r="E21" s="30"/>
      <c r="G21"/>
      <c r="H21" s="56" t="s">
        <v>60</v>
      </c>
      <c r="I21" s="57"/>
      <c r="J21" s="22"/>
      <c r="K21" s="23"/>
      <c r="L21"/>
      <c r="M21"/>
    </row>
    <row r="22" spans="1:13" ht="14.95" thickBot="1" x14ac:dyDescent="0.35">
      <c r="B22" s="34">
        <f>GETPIVOTDATA("Sum of Salary",$H$7,"Department","Production","Nearest Manager","Elly Kam")/12</f>
        <v>38250</v>
      </c>
      <c r="C22" s="29"/>
      <c r="E22" s="30"/>
      <c r="G22"/>
      <c r="H22" s="32" t="s">
        <v>48</v>
      </c>
      <c r="I22" s="23">
        <v>50800</v>
      </c>
      <c r="J22" s="22"/>
      <c r="K22" s="23"/>
      <c r="L22"/>
      <c r="M22"/>
    </row>
    <row r="23" spans="1:13" x14ac:dyDescent="0.3">
      <c r="C23" s="29"/>
      <c r="E23" s="30"/>
      <c r="G23"/>
      <c r="H23" s="32" t="s">
        <v>43</v>
      </c>
      <c r="I23" s="23">
        <v>51000</v>
      </c>
      <c r="J23"/>
      <c r="K23"/>
      <c r="L23"/>
      <c r="M23"/>
    </row>
    <row r="24" spans="1:13" x14ac:dyDescent="0.3">
      <c r="C24" s="29"/>
      <c r="E24" s="30"/>
      <c r="H24" s="32" t="s">
        <v>37</v>
      </c>
      <c r="I24" s="23">
        <v>55071.428571428572</v>
      </c>
      <c r="J24"/>
      <c r="K24"/>
      <c r="L24"/>
      <c r="M24"/>
    </row>
    <row r="25" spans="1:13" x14ac:dyDescent="0.3">
      <c r="C25" s="29"/>
      <c r="E25" s="30"/>
      <c r="H25" s="56" t="s">
        <v>69</v>
      </c>
      <c r="I25" s="57"/>
      <c r="J25"/>
      <c r="K25"/>
      <c r="L25"/>
      <c r="M25"/>
    </row>
    <row r="26" spans="1:13" x14ac:dyDescent="0.3">
      <c r="C26" s="29"/>
      <c r="E26" s="30"/>
      <c r="G26"/>
      <c r="H26" s="32" t="s">
        <v>78</v>
      </c>
      <c r="I26" s="23">
        <v>52750</v>
      </c>
      <c r="J26"/>
      <c r="K26"/>
      <c r="L26"/>
      <c r="M26"/>
    </row>
    <row r="27" spans="1:13" x14ac:dyDescent="0.3">
      <c r="C27" s="29"/>
      <c r="E27" s="30"/>
      <c r="H27" s="32" t="s">
        <v>61</v>
      </c>
      <c r="I27" s="23">
        <v>51714.285714285717</v>
      </c>
      <c r="J27"/>
      <c r="K27"/>
      <c r="L27"/>
      <c r="M27"/>
    </row>
    <row r="28" spans="1:13" x14ac:dyDescent="0.3">
      <c r="C28" s="29"/>
      <c r="E28" s="30"/>
      <c r="H28" s="32" t="s">
        <v>46</v>
      </c>
      <c r="I28" s="23">
        <v>50000</v>
      </c>
      <c r="J28"/>
      <c r="K28"/>
      <c r="L28"/>
      <c r="M28"/>
    </row>
    <row r="29" spans="1:13" x14ac:dyDescent="0.3">
      <c r="C29" s="29"/>
      <c r="E29" s="30"/>
      <c r="H29" s="32" t="s">
        <v>41</v>
      </c>
      <c r="I29" s="23">
        <v>51375</v>
      </c>
      <c r="J29"/>
      <c r="K29"/>
      <c r="L29"/>
      <c r="M29"/>
    </row>
    <row r="30" spans="1:13" x14ac:dyDescent="0.3">
      <c r="C30" s="29"/>
      <c r="E30" s="30"/>
      <c r="H30" s="54" t="s">
        <v>32</v>
      </c>
      <c r="I30" s="55">
        <v>52269.230769230766</v>
      </c>
      <c r="J30"/>
      <c r="K30"/>
      <c r="L30"/>
      <c r="M30"/>
    </row>
    <row r="31" spans="1:13" x14ac:dyDescent="0.3">
      <c r="C31" s="29"/>
      <c r="E31" s="30"/>
      <c r="J31"/>
      <c r="K31"/>
      <c r="L31"/>
      <c r="M31"/>
    </row>
    <row r="32" spans="1:13" x14ac:dyDescent="0.3">
      <c r="C32" s="29"/>
      <c r="E32" s="30"/>
      <c r="H32" s="4" t="s">
        <v>22</v>
      </c>
      <c r="J32"/>
      <c r="K32"/>
      <c r="L32"/>
      <c r="M32"/>
    </row>
    <row r="33" spans="3:13" x14ac:dyDescent="0.3">
      <c r="H33" s="21" t="s">
        <v>54</v>
      </c>
      <c r="I33" s="21" t="s">
        <v>159</v>
      </c>
      <c r="J33"/>
      <c r="K33"/>
      <c r="L33"/>
      <c r="M33"/>
    </row>
    <row r="34" spans="3:13" x14ac:dyDescent="0.3">
      <c r="C34" s="18"/>
      <c r="H34" s="21" t="s">
        <v>31</v>
      </c>
      <c r="I34" t="s">
        <v>60</v>
      </c>
      <c r="J34" t="s">
        <v>69</v>
      </c>
      <c r="K34" t="s">
        <v>32</v>
      </c>
      <c r="L34"/>
      <c r="M34"/>
    </row>
    <row r="35" spans="3:13" x14ac:dyDescent="0.3">
      <c r="C35" s="29"/>
      <c r="E35" s="30"/>
      <c r="H35" s="22" t="s">
        <v>78</v>
      </c>
      <c r="I35" s="23"/>
      <c r="J35" s="23">
        <v>211000</v>
      </c>
      <c r="K35" s="23">
        <v>211000</v>
      </c>
      <c r="L35"/>
      <c r="M35"/>
    </row>
    <row r="36" spans="3:13" x14ac:dyDescent="0.3">
      <c r="C36" s="29"/>
      <c r="E36" s="30"/>
      <c r="H36" s="22" t="s">
        <v>61</v>
      </c>
      <c r="I36" s="23"/>
      <c r="J36" s="23">
        <v>362000</v>
      </c>
      <c r="K36" s="23">
        <v>362000</v>
      </c>
      <c r="L36"/>
      <c r="M36"/>
    </row>
    <row r="37" spans="3:13" x14ac:dyDescent="0.3">
      <c r="C37" s="29"/>
      <c r="E37" s="30"/>
      <c r="H37" s="22" t="s">
        <v>46</v>
      </c>
      <c r="I37" s="23"/>
      <c r="J37" s="23">
        <v>250000</v>
      </c>
      <c r="K37" s="23">
        <v>250000</v>
      </c>
    </row>
    <row r="38" spans="3:13" x14ac:dyDescent="0.3">
      <c r="H38" s="22" t="s">
        <v>41</v>
      </c>
      <c r="I38" s="23"/>
      <c r="J38" s="23">
        <v>411000</v>
      </c>
      <c r="K38" s="23">
        <v>411000</v>
      </c>
    </row>
    <row r="39" spans="3:13" x14ac:dyDescent="0.3">
      <c r="H39" s="22" t="s">
        <v>48</v>
      </c>
      <c r="I39" s="23">
        <v>254000</v>
      </c>
      <c r="J39" s="23"/>
      <c r="K39" s="23">
        <v>254000</v>
      </c>
    </row>
    <row r="40" spans="3:13" x14ac:dyDescent="0.3">
      <c r="H40" s="22" t="s">
        <v>43</v>
      </c>
      <c r="I40" s="23">
        <v>459000</v>
      </c>
      <c r="J40" s="23"/>
      <c r="K40" s="23">
        <v>459000</v>
      </c>
    </row>
    <row r="41" spans="3:13" x14ac:dyDescent="0.3">
      <c r="H41" s="22" t="s">
        <v>37</v>
      </c>
      <c r="I41" s="23">
        <v>771000</v>
      </c>
      <c r="J41" s="23"/>
      <c r="K41" s="23">
        <v>771000</v>
      </c>
    </row>
    <row r="42" spans="3:13" x14ac:dyDescent="0.3">
      <c r="H42" s="22" t="s">
        <v>32</v>
      </c>
      <c r="I42" s="23">
        <v>1484000</v>
      </c>
      <c r="J42" s="23">
        <v>1234000</v>
      </c>
      <c r="K42" s="23">
        <v>2718000</v>
      </c>
    </row>
    <row r="45" spans="3:13" x14ac:dyDescent="0.3">
      <c r="G45"/>
      <c r="H45"/>
      <c r="I45"/>
    </row>
    <row r="46" spans="3:13" x14ac:dyDescent="0.3">
      <c r="G46"/>
      <c r="H46"/>
      <c r="I46"/>
    </row>
    <row r="47" spans="3:13" x14ac:dyDescent="0.3">
      <c r="G47"/>
      <c r="H47"/>
      <c r="I47"/>
    </row>
    <row r="48" spans="3:13" x14ac:dyDescent="0.3">
      <c r="G48"/>
      <c r="H48"/>
    </row>
    <row r="49" spans="7:8" x14ac:dyDescent="0.3">
      <c r="G49"/>
      <c r="H49"/>
    </row>
    <row r="50" spans="7:8" x14ac:dyDescent="0.3">
      <c r="G50"/>
      <c r="H50"/>
    </row>
    <row r="51" spans="7:8" x14ac:dyDescent="0.3">
      <c r="G51"/>
      <c r="H51"/>
    </row>
    <row r="52" spans="7:8" x14ac:dyDescent="0.3">
      <c r="G52"/>
      <c r="H52"/>
    </row>
    <row r="53" spans="7:8" x14ac:dyDescent="0.3">
      <c r="G53"/>
      <c r="H53"/>
    </row>
    <row r="54" spans="7:8" x14ac:dyDescent="0.3">
      <c r="G54"/>
      <c r="H54"/>
    </row>
    <row r="55" spans="7:8" x14ac:dyDescent="0.3">
      <c r="G55"/>
      <c r="H55"/>
    </row>
    <row r="56" spans="7:8" x14ac:dyDescent="0.3">
      <c r="G56"/>
      <c r="H56"/>
    </row>
    <row r="57" spans="7:8" x14ac:dyDescent="0.3">
      <c r="G57"/>
      <c r="H57"/>
    </row>
    <row r="58" spans="7:8" x14ac:dyDescent="0.3">
      <c r="G58"/>
      <c r="H58"/>
    </row>
    <row r="59" spans="7:8" x14ac:dyDescent="0.3">
      <c r="G59"/>
      <c r="H59"/>
    </row>
    <row r="60" spans="7:8" x14ac:dyDescent="0.3">
      <c r="G60"/>
      <c r="H60"/>
    </row>
    <row r="61" spans="7:8" x14ac:dyDescent="0.3">
      <c r="G61"/>
      <c r="H61"/>
    </row>
    <row r="62" spans="7:8" x14ac:dyDescent="0.3">
      <c r="G62"/>
      <c r="H62"/>
    </row>
    <row r="63" spans="7:8" x14ac:dyDescent="0.3">
      <c r="G63"/>
      <c r="H63"/>
    </row>
    <row r="64" spans="7:8" x14ac:dyDescent="0.3">
      <c r="G64"/>
      <c r="H64"/>
    </row>
    <row r="65" spans="7:8" x14ac:dyDescent="0.3">
      <c r="G65"/>
      <c r="H65"/>
    </row>
    <row r="66" spans="7:8" x14ac:dyDescent="0.3">
      <c r="G66"/>
      <c r="H66"/>
    </row>
    <row r="67" spans="7:8" x14ac:dyDescent="0.3">
      <c r="G67"/>
      <c r="H67"/>
    </row>
    <row r="68" spans="7:8" x14ac:dyDescent="0.3">
      <c r="G68"/>
      <c r="H68"/>
    </row>
    <row r="69" spans="7:8" x14ac:dyDescent="0.3">
      <c r="G69"/>
      <c r="H69"/>
    </row>
    <row r="70" spans="7:8" x14ac:dyDescent="0.3">
      <c r="G70"/>
      <c r="H70"/>
    </row>
    <row r="71" spans="7:8" x14ac:dyDescent="0.3">
      <c r="G71"/>
      <c r="H71"/>
    </row>
    <row r="72" spans="7:8" x14ac:dyDescent="0.3">
      <c r="G72"/>
      <c r="H72"/>
    </row>
    <row r="73" spans="7:8" x14ac:dyDescent="0.3">
      <c r="G73"/>
      <c r="H73"/>
    </row>
    <row r="74" spans="7:8" x14ac:dyDescent="0.3">
      <c r="G74"/>
      <c r="H74"/>
    </row>
    <row r="75" spans="7:8" x14ac:dyDescent="0.3">
      <c r="G75"/>
      <c r="H75"/>
    </row>
    <row r="76" spans="7:8" x14ac:dyDescent="0.3">
      <c r="G76"/>
      <c r="H76"/>
    </row>
    <row r="77" spans="7:8" x14ac:dyDescent="0.3">
      <c r="G77"/>
      <c r="H77"/>
    </row>
    <row r="78" spans="7:8" x14ac:dyDescent="0.3">
      <c r="G78"/>
      <c r="H78"/>
    </row>
    <row r="79" spans="7:8" x14ac:dyDescent="0.3">
      <c r="G79"/>
      <c r="H79"/>
    </row>
    <row r="80" spans="7:8" x14ac:dyDescent="0.3">
      <c r="G80"/>
      <c r="H80"/>
    </row>
    <row r="81" spans="7:8" x14ac:dyDescent="0.3">
      <c r="G81"/>
      <c r="H81"/>
    </row>
    <row r="82" spans="7:8" x14ac:dyDescent="0.3">
      <c r="G82"/>
      <c r="H82"/>
    </row>
    <row r="83" spans="7:8" x14ac:dyDescent="0.3">
      <c r="G83"/>
      <c r="H83"/>
    </row>
    <row r="84" spans="7:8" x14ac:dyDescent="0.3">
      <c r="G84"/>
      <c r="H84"/>
    </row>
    <row r="85" spans="7:8" x14ac:dyDescent="0.3">
      <c r="G85"/>
      <c r="H85"/>
    </row>
    <row r="86" spans="7:8" x14ac:dyDescent="0.3">
      <c r="G86"/>
      <c r="H86"/>
    </row>
    <row r="87" spans="7:8" x14ac:dyDescent="0.3">
      <c r="G87"/>
      <c r="H87"/>
    </row>
    <row r="88" spans="7:8" x14ac:dyDescent="0.3">
      <c r="G88"/>
      <c r="H88"/>
    </row>
    <row r="89" spans="7:8" x14ac:dyDescent="0.3">
      <c r="G89"/>
      <c r="H89"/>
    </row>
    <row r="90" spans="7:8" x14ac:dyDescent="0.3">
      <c r="G90"/>
      <c r="H90"/>
    </row>
    <row r="91" spans="7:8" x14ac:dyDescent="0.3">
      <c r="G91"/>
      <c r="H91"/>
    </row>
  </sheetData>
  <mergeCells count="2">
    <mergeCell ref="A1:I2"/>
    <mergeCell ref="G3:G5"/>
  </mergeCell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91"/>
  <sheetViews>
    <sheetView showGridLines="0" zoomScale="120" zoomScaleNormal="120" workbookViewId="0">
      <selection activeCell="E21" sqref="E21"/>
    </sheetView>
  </sheetViews>
  <sheetFormatPr defaultColWidth="8.8984375" defaultRowHeight="14.4" x14ac:dyDescent="0.3"/>
  <cols>
    <col min="1" max="1" width="8.8984375" style="19" customWidth="1"/>
    <col min="2" max="2" width="8.8984375" style="4"/>
    <col min="3" max="3" width="17" style="4" customWidth="1"/>
    <col min="4" max="4" width="14.59765625" style="4" bestFit="1" customWidth="1"/>
    <col min="5" max="5" width="11" style="4" bestFit="1" customWidth="1"/>
    <col min="6" max="6" width="8.8984375" style="4"/>
    <col min="7" max="7" width="15.296875" style="4" customWidth="1"/>
    <col min="8" max="8" width="31.69921875" style="4" customWidth="1"/>
    <col min="9" max="9" width="12.19921875" style="4" customWidth="1"/>
    <col min="10" max="10" width="10.69921875" style="4" customWidth="1"/>
    <col min="11" max="11" width="31.69921875" style="4" bestFit="1" customWidth="1"/>
    <col min="12" max="12" width="12.19921875" style="4" bestFit="1" customWidth="1"/>
    <col min="13" max="13" width="10.09765625" style="4" bestFit="1" customWidth="1"/>
    <col min="14" max="14" width="31.69921875" style="4" customWidth="1"/>
    <col min="15" max="15" width="12.19921875" style="4" bestFit="1" customWidth="1"/>
    <col min="16" max="16" width="11.296875" style="4" bestFit="1" customWidth="1"/>
    <col min="17" max="18" width="8.8984375" style="4"/>
    <col min="19" max="19" width="21.3984375" style="4" customWidth="1"/>
    <col min="20" max="20" width="12.19921875" style="4" bestFit="1" customWidth="1"/>
    <col min="21" max="16384" width="8.8984375" style="4"/>
  </cols>
  <sheetData>
    <row r="1" spans="1:20" x14ac:dyDescent="0.3">
      <c r="A1" s="76" t="s">
        <v>111</v>
      </c>
      <c r="B1" s="76"/>
      <c r="C1" s="76"/>
      <c r="D1" s="76"/>
      <c r="E1" s="76"/>
      <c r="F1" s="76"/>
      <c r="G1" s="76"/>
      <c r="H1" s="76"/>
      <c r="I1" s="76"/>
    </row>
    <row r="2" spans="1:20" x14ac:dyDescent="0.3">
      <c r="A2" s="76"/>
      <c r="B2" s="76"/>
      <c r="C2" s="76"/>
      <c r="D2" s="76"/>
      <c r="E2" s="76"/>
      <c r="F2" s="76"/>
      <c r="G2" s="76"/>
      <c r="H2" s="76"/>
      <c r="I2" s="76"/>
    </row>
    <row r="3" spans="1:20" x14ac:dyDescent="0.3">
      <c r="G3" s="77"/>
    </row>
    <row r="4" spans="1:20" x14ac:dyDescent="0.3">
      <c r="B4" s="18"/>
      <c r="G4" s="77"/>
    </row>
    <row r="5" spans="1:20" x14ac:dyDescent="0.3">
      <c r="G5" s="77"/>
    </row>
    <row r="6" spans="1:20" x14ac:dyDescent="0.3">
      <c r="A6" s="19" t="s">
        <v>19</v>
      </c>
      <c r="B6" s="4" t="s">
        <v>112</v>
      </c>
      <c r="H6" s="4" t="s">
        <v>19</v>
      </c>
      <c r="I6"/>
      <c r="K6" s="4" t="s">
        <v>20</v>
      </c>
      <c r="N6" s="4" t="s">
        <v>21</v>
      </c>
      <c r="S6" s="4" t="s">
        <v>22</v>
      </c>
    </row>
    <row r="7" spans="1:20" x14ac:dyDescent="0.3">
      <c r="B7" s="4" t="s">
        <v>139</v>
      </c>
      <c r="H7" s="21" t="s">
        <v>31</v>
      </c>
      <c r="I7" t="s">
        <v>54</v>
      </c>
      <c r="J7"/>
      <c r="K7" s="21" t="s">
        <v>31</v>
      </c>
      <c r="L7" t="s">
        <v>54</v>
      </c>
      <c r="M7"/>
      <c r="N7" s="21" t="s">
        <v>31</v>
      </c>
      <c r="O7" t="s">
        <v>54</v>
      </c>
      <c r="P7"/>
      <c r="S7" s="21" t="s">
        <v>31</v>
      </c>
      <c r="T7" t="s">
        <v>54</v>
      </c>
    </row>
    <row r="8" spans="1:20" x14ac:dyDescent="0.3">
      <c r="B8" s="33"/>
      <c r="H8" s="22" t="s">
        <v>60</v>
      </c>
      <c r="I8" s="23">
        <v>1484000</v>
      </c>
      <c r="J8"/>
      <c r="K8" s="22" t="s">
        <v>60</v>
      </c>
      <c r="L8" s="23">
        <v>308000</v>
      </c>
      <c r="M8"/>
      <c r="N8" s="22" t="s">
        <v>60</v>
      </c>
      <c r="O8" s="23">
        <v>308000</v>
      </c>
      <c r="P8"/>
      <c r="S8" s="22" t="s">
        <v>60</v>
      </c>
      <c r="T8" s="23">
        <v>216000</v>
      </c>
    </row>
    <row r="9" spans="1:20" x14ac:dyDescent="0.3">
      <c r="H9" s="32" t="s">
        <v>48</v>
      </c>
      <c r="I9" s="35">
        <v>254000</v>
      </c>
      <c r="J9"/>
      <c r="K9" s="32" t="s">
        <v>48</v>
      </c>
      <c r="L9" s="35">
        <v>89000</v>
      </c>
      <c r="M9"/>
      <c r="N9" s="32" t="s">
        <v>48</v>
      </c>
      <c r="O9" s="35">
        <v>89000</v>
      </c>
      <c r="P9"/>
      <c r="S9" s="32" t="s">
        <v>48</v>
      </c>
      <c r="T9" s="35">
        <v>89000</v>
      </c>
    </row>
    <row r="10" spans="1:20" x14ac:dyDescent="0.3">
      <c r="A10" s="19" t="s">
        <v>20</v>
      </c>
      <c r="B10" s="4" t="s">
        <v>113</v>
      </c>
      <c r="H10" s="36" t="s">
        <v>85</v>
      </c>
      <c r="I10" s="23">
        <v>55000</v>
      </c>
      <c r="J10"/>
      <c r="K10" s="36" t="s">
        <v>94</v>
      </c>
      <c r="L10" s="23">
        <v>42000</v>
      </c>
      <c r="M10"/>
      <c r="N10" s="36" t="s">
        <v>94</v>
      </c>
      <c r="O10" s="23">
        <v>42000</v>
      </c>
      <c r="P10"/>
      <c r="S10" s="32" t="s">
        <v>37</v>
      </c>
      <c r="T10" s="35">
        <v>127000</v>
      </c>
    </row>
    <row r="11" spans="1:20" x14ac:dyDescent="0.3">
      <c r="B11" s="4" t="s">
        <v>114</v>
      </c>
      <c r="H11" s="36" t="s">
        <v>94</v>
      </c>
      <c r="I11" s="23">
        <v>42000</v>
      </c>
      <c r="J11"/>
      <c r="K11" s="36" t="s">
        <v>67</v>
      </c>
      <c r="L11" s="23">
        <v>47000</v>
      </c>
      <c r="M11"/>
      <c r="N11" s="36" t="s">
        <v>67</v>
      </c>
      <c r="O11" s="23">
        <v>47000</v>
      </c>
      <c r="P11"/>
      <c r="S11" s="36" t="s">
        <v>36</v>
      </c>
      <c r="T11" s="23">
        <v>45000</v>
      </c>
    </row>
    <row r="12" spans="1:20" x14ac:dyDescent="0.3">
      <c r="H12" s="36" t="s">
        <v>67</v>
      </c>
      <c r="I12" s="23">
        <v>47000</v>
      </c>
      <c r="J12"/>
      <c r="K12" s="32" t="s">
        <v>43</v>
      </c>
      <c r="L12" s="35">
        <v>92000</v>
      </c>
      <c r="N12" s="32" t="s">
        <v>43</v>
      </c>
      <c r="O12" s="35">
        <v>92000</v>
      </c>
      <c r="S12" s="36" t="s">
        <v>87</v>
      </c>
      <c r="T12" s="23">
        <v>40000</v>
      </c>
    </row>
    <row r="13" spans="1:20" x14ac:dyDescent="0.3">
      <c r="H13" s="36" t="s">
        <v>86</v>
      </c>
      <c r="I13" s="23">
        <v>51000</v>
      </c>
      <c r="J13"/>
      <c r="K13" s="36" t="s">
        <v>42</v>
      </c>
      <c r="L13" s="23">
        <v>45000</v>
      </c>
      <c r="N13" s="36" t="s">
        <v>42</v>
      </c>
      <c r="O13" s="23">
        <v>45000</v>
      </c>
      <c r="S13" s="36" t="s">
        <v>70</v>
      </c>
      <c r="T13" s="23">
        <v>42000</v>
      </c>
    </row>
    <row r="14" spans="1:20" x14ac:dyDescent="0.3">
      <c r="A14" s="19" t="s">
        <v>21</v>
      </c>
      <c r="B14" s="4" t="s">
        <v>115</v>
      </c>
      <c r="H14" s="36" t="s">
        <v>47</v>
      </c>
      <c r="I14" s="23">
        <v>59000</v>
      </c>
      <c r="J14"/>
      <c r="K14" s="36" t="s">
        <v>97</v>
      </c>
      <c r="L14" s="23">
        <v>47000</v>
      </c>
      <c r="N14" s="36" t="s">
        <v>97</v>
      </c>
      <c r="O14" s="23">
        <v>47000</v>
      </c>
      <c r="S14" s="22" t="s">
        <v>69</v>
      </c>
      <c r="T14" s="35">
        <v>132000</v>
      </c>
    </row>
    <row r="15" spans="1:20" x14ac:dyDescent="0.3">
      <c r="H15" s="32" t="s">
        <v>43</v>
      </c>
      <c r="I15" s="35">
        <v>459000</v>
      </c>
      <c r="J15"/>
      <c r="K15" s="32" t="s">
        <v>37</v>
      </c>
      <c r="L15" s="35">
        <v>127000</v>
      </c>
      <c r="N15" s="32" t="s">
        <v>37</v>
      </c>
      <c r="O15" s="35">
        <v>127000</v>
      </c>
      <c r="S15" s="32" t="s">
        <v>46</v>
      </c>
      <c r="T15" s="35">
        <v>132000</v>
      </c>
    </row>
    <row r="16" spans="1:20" x14ac:dyDescent="0.3">
      <c r="H16" s="36" t="s">
        <v>73</v>
      </c>
      <c r="I16" s="23">
        <v>84000</v>
      </c>
      <c r="J16"/>
      <c r="K16" s="36" t="s">
        <v>36</v>
      </c>
      <c r="L16" s="23">
        <v>45000</v>
      </c>
      <c r="N16" s="36" t="s">
        <v>36</v>
      </c>
      <c r="O16" s="23">
        <v>45000</v>
      </c>
      <c r="S16" s="36" t="s">
        <v>45</v>
      </c>
      <c r="T16" s="23">
        <v>40000</v>
      </c>
    </row>
    <row r="17" spans="1:20" x14ac:dyDescent="0.3">
      <c r="A17" s="19" t="s">
        <v>22</v>
      </c>
      <c r="B17" s="4" t="s">
        <v>116</v>
      </c>
      <c r="H17" s="36" t="s">
        <v>101</v>
      </c>
      <c r="I17" s="23">
        <v>53000</v>
      </c>
      <c r="J17" s="22"/>
      <c r="K17" s="36" t="s">
        <v>87</v>
      </c>
      <c r="L17" s="23">
        <v>40000</v>
      </c>
      <c r="N17" s="36" t="s">
        <v>87</v>
      </c>
      <c r="O17" s="23">
        <v>40000</v>
      </c>
      <c r="S17" s="36" t="s">
        <v>63</v>
      </c>
      <c r="T17" s="23">
        <v>45000</v>
      </c>
    </row>
    <row r="18" spans="1:20" x14ac:dyDescent="0.3">
      <c r="B18" s="4" t="s">
        <v>118</v>
      </c>
      <c r="G18"/>
      <c r="H18" s="36" t="s">
        <v>42</v>
      </c>
      <c r="I18" s="23">
        <v>45000</v>
      </c>
      <c r="J18" s="22"/>
      <c r="K18" s="36" t="s">
        <v>70</v>
      </c>
      <c r="L18" s="23">
        <v>42000</v>
      </c>
      <c r="N18" s="36" t="s">
        <v>70</v>
      </c>
      <c r="O18" s="23">
        <v>42000</v>
      </c>
      <c r="S18" s="36" t="s">
        <v>83</v>
      </c>
      <c r="T18" s="23">
        <v>47000</v>
      </c>
    </row>
    <row r="19" spans="1:20" x14ac:dyDescent="0.3">
      <c r="B19" s="33" t="s">
        <v>117</v>
      </c>
      <c r="G19"/>
      <c r="H19" s="36" t="s">
        <v>74</v>
      </c>
      <c r="I19" s="23">
        <v>56000</v>
      </c>
      <c r="J19" s="22"/>
      <c r="K19" s="22" t="s">
        <v>69</v>
      </c>
      <c r="L19" s="35">
        <v>310000</v>
      </c>
      <c r="M19"/>
      <c r="N19" s="22" t="s">
        <v>69</v>
      </c>
      <c r="O19" s="35">
        <v>310000</v>
      </c>
      <c r="S19" s="22" t="s">
        <v>32</v>
      </c>
      <c r="T19" s="35">
        <v>348000</v>
      </c>
    </row>
    <row r="20" spans="1:20" x14ac:dyDescent="0.3">
      <c r="C20" s="18"/>
      <c r="G20"/>
      <c r="H20" s="36" t="s">
        <v>81</v>
      </c>
      <c r="I20" s="23">
        <v>63000</v>
      </c>
      <c r="J20" s="22"/>
      <c r="K20" s="32" t="s">
        <v>46</v>
      </c>
      <c r="L20" s="35">
        <v>132000</v>
      </c>
      <c r="M20"/>
      <c r="N20" s="32" t="s">
        <v>46</v>
      </c>
      <c r="O20" s="35">
        <v>132000</v>
      </c>
      <c r="S20"/>
      <c r="T20"/>
    </row>
    <row r="21" spans="1:20" x14ac:dyDescent="0.3">
      <c r="B21" s="33"/>
      <c r="C21" s="29"/>
      <c r="E21" s="30"/>
      <c r="G21"/>
      <c r="H21" s="36" t="s">
        <v>95</v>
      </c>
      <c r="I21" s="23">
        <v>56000</v>
      </c>
      <c r="J21" s="22"/>
      <c r="K21" s="36" t="s">
        <v>45</v>
      </c>
      <c r="L21" s="23">
        <v>40000</v>
      </c>
      <c r="M21"/>
      <c r="N21" s="36" t="s">
        <v>45</v>
      </c>
      <c r="O21" s="23">
        <v>40000</v>
      </c>
      <c r="S21"/>
      <c r="T21"/>
    </row>
    <row r="22" spans="1:20" x14ac:dyDescent="0.3">
      <c r="B22" s="61" t="s">
        <v>170</v>
      </c>
      <c r="C22" s="62"/>
      <c r="D22" s="61"/>
      <c r="E22" s="30"/>
      <c r="G22"/>
      <c r="H22" s="36" t="s">
        <v>97</v>
      </c>
      <c r="I22" s="23">
        <v>47000</v>
      </c>
      <c r="J22" s="22"/>
      <c r="K22" s="36" t="s">
        <v>63</v>
      </c>
      <c r="L22" s="23">
        <v>45000</v>
      </c>
      <c r="M22"/>
      <c r="N22" s="36" t="s">
        <v>63</v>
      </c>
      <c r="O22" s="23">
        <v>45000</v>
      </c>
      <c r="S22"/>
      <c r="T22"/>
    </row>
    <row r="23" spans="1:20" x14ac:dyDescent="0.3">
      <c r="C23" s="29"/>
      <c r="E23" s="30"/>
      <c r="G23"/>
      <c r="H23" s="36" t="s">
        <v>90</v>
      </c>
      <c r="I23" s="23">
        <v>55000</v>
      </c>
      <c r="J23"/>
      <c r="K23" s="36" t="s">
        <v>83</v>
      </c>
      <c r="L23" s="23">
        <v>47000</v>
      </c>
      <c r="M23"/>
      <c r="N23" s="36" t="s">
        <v>83</v>
      </c>
      <c r="O23" s="23">
        <v>47000</v>
      </c>
      <c r="S23"/>
      <c r="T23"/>
    </row>
    <row r="24" spans="1:20" x14ac:dyDescent="0.3">
      <c r="C24" s="29"/>
      <c r="E24" s="30"/>
      <c r="H24" s="32" t="s">
        <v>37</v>
      </c>
      <c r="I24" s="35">
        <v>771000</v>
      </c>
      <c r="J24"/>
      <c r="K24" s="32" t="s">
        <v>41</v>
      </c>
      <c r="L24" s="35">
        <v>178000</v>
      </c>
      <c r="M24"/>
      <c r="N24" s="32" t="s">
        <v>41</v>
      </c>
      <c r="O24" s="35">
        <v>178000</v>
      </c>
      <c r="S24"/>
      <c r="T24"/>
    </row>
    <row r="25" spans="1:20" x14ac:dyDescent="0.3">
      <c r="C25" s="29"/>
      <c r="E25" s="30"/>
      <c r="H25" s="36" t="s">
        <v>36</v>
      </c>
      <c r="I25" s="23">
        <v>45000</v>
      </c>
      <c r="J25"/>
      <c r="K25" s="36" t="s">
        <v>44</v>
      </c>
      <c r="L25" s="23">
        <v>47000</v>
      </c>
      <c r="M25"/>
      <c r="N25" s="36" t="s">
        <v>44</v>
      </c>
      <c r="O25" s="23">
        <v>47000</v>
      </c>
      <c r="S25"/>
      <c r="T25"/>
    </row>
    <row r="26" spans="1:20" x14ac:dyDescent="0.3">
      <c r="C26" s="29"/>
      <c r="E26" s="30"/>
      <c r="G26"/>
      <c r="H26" s="36" t="s">
        <v>65</v>
      </c>
      <c r="I26" s="23">
        <v>56000</v>
      </c>
      <c r="J26"/>
      <c r="K26" s="36" t="s">
        <v>50</v>
      </c>
      <c r="L26" s="23">
        <v>42000</v>
      </c>
      <c r="M26"/>
      <c r="N26" s="36" t="s">
        <v>50</v>
      </c>
      <c r="O26" s="23">
        <v>42000</v>
      </c>
      <c r="S26"/>
      <c r="T26"/>
    </row>
    <row r="27" spans="1:20" x14ac:dyDescent="0.3">
      <c r="C27" s="29"/>
      <c r="E27" s="30"/>
      <c r="H27" s="36" t="s">
        <v>87</v>
      </c>
      <c r="I27" s="23">
        <v>40000</v>
      </c>
      <c r="J27"/>
      <c r="K27" s="36" t="s">
        <v>40</v>
      </c>
      <c r="L27" s="23">
        <v>44000</v>
      </c>
      <c r="M27"/>
      <c r="N27" s="36" t="s">
        <v>40</v>
      </c>
      <c r="O27" s="23">
        <v>44000</v>
      </c>
      <c r="S27"/>
      <c r="T27"/>
    </row>
    <row r="28" spans="1:20" x14ac:dyDescent="0.3">
      <c r="C28" s="29"/>
      <c r="E28" s="30"/>
      <c r="H28" s="36" t="s">
        <v>72</v>
      </c>
      <c r="I28" s="23">
        <v>58000</v>
      </c>
      <c r="J28"/>
      <c r="K28" s="36" t="s">
        <v>93</v>
      </c>
      <c r="L28" s="23">
        <v>45000</v>
      </c>
      <c r="M28"/>
      <c r="N28" s="36" t="s">
        <v>93</v>
      </c>
      <c r="O28" s="23">
        <v>45000</v>
      </c>
      <c r="S28"/>
      <c r="T28"/>
    </row>
    <row r="29" spans="1:20" x14ac:dyDescent="0.3">
      <c r="C29" s="29"/>
      <c r="E29" s="30"/>
      <c r="H29" s="36" t="s">
        <v>66</v>
      </c>
      <c r="I29" s="23">
        <v>53000</v>
      </c>
      <c r="J29"/>
      <c r="K29" s="22" t="s">
        <v>32</v>
      </c>
      <c r="L29" s="35">
        <v>618000</v>
      </c>
      <c r="M29"/>
      <c r="N29" s="22" t="s">
        <v>32</v>
      </c>
      <c r="O29" s="35">
        <v>618000</v>
      </c>
      <c r="S29"/>
      <c r="T29"/>
    </row>
    <row r="30" spans="1:20" x14ac:dyDescent="0.3">
      <c r="C30" s="29"/>
      <c r="E30" s="30"/>
      <c r="H30" s="36" t="s">
        <v>96</v>
      </c>
      <c r="I30" s="23">
        <v>61000</v>
      </c>
      <c r="J30"/>
      <c r="K30"/>
      <c r="L30"/>
      <c r="M30"/>
    </row>
    <row r="31" spans="1:20" x14ac:dyDescent="0.3">
      <c r="C31" s="29"/>
      <c r="E31" s="30"/>
      <c r="H31" s="36" t="s">
        <v>88</v>
      </c>
      <c r="I31" s="23">
        <v>65000</v>
      </c>
      <c r="J31"/>
      <c r="K31"/>
      <c r="L31"/>
      <c r="M31"/>
    </row>
    <row r="32" spans="1:20" x14ac:dyDescent="0.3">
      <c r="C32" s="29"/>
      <c r="E32" s="30"/>
      <c r="H32" s="36" t="s">
        <v>92</v>
      </c>
      <c r="I32" s="23">
        <v>56000</v>
      </c>
      <c r="J32"/>
      <c r="K32"/>
      <c r="L32"/>
      <c r="M32"/>
    </row>
    <row r="33" spans="3:13" x14ac:dyDescent="0.3">
      <c r="H33" s="36" t="s">
        <v>70</v>
      </c>
      <c r="I33" s="23">
        <v>42000</v>
      </c>
      <c r="J33"/>
      <c r="K33"/>
      <c r="L33"/>
      <c r="M33"/>
    </row>
    <row r="34" spans="3:13" x14ac:dyDescent="0.3">
      <c r="C34" s="18"/>
      <c r="H34" s="36" t="s">
        <v>84</v>
      </c>
      <c r="I34" s="23">
        <v>63000</v>
      </c>
      <c r="K34"/>
      <c r="L34"/>
      <c r="M34"/>
    </row>
    <row r="35" spans="3:13" x14ac:dyDescent="0.3">
      <c r="C35" s="29"/>
      <c r="E35" s="30"/>
      <c r="H35" s="36" t="s">
        <v>39</v>
      </c>
      <c r="I35" s="23">
        <v>54000</v>
      </c>
      <c r="K35"/>
      <c r="L35"/>
      <c r="M35"/>
    </row>
    <row r="36" spans="3:13" x14ac:dyDescent="0.3">
      <c r="C36" s="29"/>
      <c r="E36" s="30"/>
      <c r="H36" s="36" t="s">
        <v>38</v>
      </c>
      <c r="I36" s="23">
        <v>59000</v>
      </c>
      <c r="K36"/>
      <c r="L36"/>
      <c r="M36"/>
    </row>
    <row r="37" spans="3:13" x14ac:dyDescent="0.3">
      <c r="C37" s="29"/>
      <c r="E37" s="30"/>
      <c r="H37" s="36" t="s">
        <v>51</v>
      </c>
      <c r="I37" s="23">
        <v>62000</v>
      </c>
      <c r="K37"/>
      <c r="L37"/>
    </row>
    <row r="38" spans="3:13" x14ac:dyDescent="0.3">
      <c r="H38" s="36" t="s">
        <v>75</v>
      </c>
      <c r="I38" s="23">
        <v>57000</v>
      </c>
      <c r="K38"/>
      <c r="L38"/>
    </row>
    <row r="39" spans="3:13" x14ac:dyDescent="0.3">
      <c r="H39" s="22" t="s">
        <v>69</v>
      </c>
      <c r="I39" s="35">
        <v>661000</v>
      </c>
      <c r="K39"/>
      <c r="L39"/>
    </row>
    <row r="40" spans="3:13" x14ac:dyDescent="0.3">
      <c r="H40" s="32" t="s">
        <v>46</v>
      </c>
      <c r="I40" s="35">
        <v>250000</v>
      </c>
      <c r="K40"/>
      <c r="L40"/>
    </row>
    <row r="41" spans="3:13" x14ac:dyDescent="0.3">
      <c r="H41" s="36" t="s">
        <v>45</v>
      </c>
      <c r="I41" s="23">
        <v>40000</v>
      </c>
      <c r="K41"/>
      <c r="L41"/>
    </row>
    <row r="42" spans="3:13" x14ac:dyDescent="0.3">
      <c r="H42" s="36" t="s">
        <v>59</v>
      </c>
      <c r="I42" s="23">
        <v>61000</v>
      </c>
      <c r="K42"/>
      <c r="L42"/>
    </row>
    <row r="43" spans="3:13" x14ac:dyDescent="0.3">
      <c r="H43" s="36" t="s">
        <v>63</v>
      </c>
      <c r="I43" s="23">
        <v>45000</v>
      </c>
      <c r="K43"/>
      <c r="L43"/>
    </row>
    <row r="44" spans="3:13" x14ac:dyDescent="0.3">
      <c r="H44" s="36" t="s">
        <v>83</v>
      </c>
      <c r="I44" s="23">
        <v>47000</v>
      </c>
      <c r="K44"/>
      <c r="L44"/>
    </row>
    <row r="45" spans="3:13" x14ac:dyDescent="0.3">
      <c r="G45"/>
      <c r="H45" s="36" t="s">
        <v>49</v>
      </c>
      <c r="I45" s="23">
        <v>57000</v>
      </c>
      <c r="K45"/>
      <c r="L45"/>
    </row>
    <row r="46" spans="3:13" x14ac:dyDescent="0.3">
      <c r="G46"/>
      <c r="H46" s="32" t="s">
        <v>41</v>
      </c>
      <c r="I46" s="35">
        <v>411000</v>
      </c>
      <c r="K46"/>
      <c r="L46"/>
    </row>
    <row r="47" spans="3:13" x14ac:dyDescent="0.3">
      <c r="G47"/>
      <c r="H47" s="36" t="s">
        <v>44</v>
      </c>
      <c r="I47" s="23">
        <v>47000</v>
      </c>
      <c r="K47"/>
      <c r="L47"/>
    </row>
    <row r="48" spans="3:13" x14ac:dyDescent="0.3">
      <c r="G48"/>
      <c r="H48" s="36" t="s">
        <v>50</v>
      </c>
      <c r="I48" s="23">
        <v>42000</v>
      </c>
      <c r="K48"/>
      <c r="L48"/>
    </row>
    <row r="49" spans="7:12" x14ac:dyDescent="0.3">
      <c r="G49"/>
      <c r="H49" s="36" t="s">
        <v>64</v>
      </c>
      <c r="I49" s="23">
        <v>59000</v>
      </c>
      <c r="K49"/>
      <c r="L49"/>
    </row>
    <row r="50" spans="7:12" x14ac:dyDescent="0.3">
      <c r="G50"/>
      <c r="H50" s="36" t="s">
        <v>40</v>
      </c>
      <c r="I50" s="23">
        <v>44000</v>
      </c>
      <c r="K50"/>
      <c r="L50"/>
    </row>
    <row r="51" spans="7:12" x14ac:dyDescent="0.3">
      <c r="G51"/>
      <c r="H51" s="36" t="s">
        <v>82</v>
      </c>
      <c r="I51" s="23">
        <v>50000</v>
      </c>
      <c r="K51"/>
      <c r="L51"/>
    </row>
    <row r="52" spans="7:12" x14ac:dyDescent="0.3">
      <c r="G52"/>
      <c r="H52" s="36" t="s">
        <v>93</v>
      </c>
      <c r="I52" s="23">
        <v>45000</v>
      </c>
      <c r="K52"/>
      <c r="L52"/>
    </row>
    <row r="53" spans="7:12" x14ac:dyDescent="0.3">
      <c r="G53"/>
      <c r="H53" s="36" t="s">
        <v>89</v>
      </c>
      <c r="I53" s="23">
        <v>61000</v>
      </c>
      <c r="K53"/>
      <c r="L53"/>
    </row>
    <row r="54" spans="7:12" x14ac:dyDescent="0.3">
      <c r="G54"/>
      <c r="H54" s="36" t="s">
        <v>58</v>
      </c>
      <c r="I54" s="23">
        <v>63000</v>
      </c>
      <c r="K54"/>
      <c r="L54"/>
    </row>
    <row r="55" spans="7:12" x14ac:dyDescent="0.3">
      <c r="G55"/>
      <c r="H55" s="22" t="s">
        <v>32</v>
      </c>
      <c r="I55" s="35">
        <v>2145000</v>
      </c>
      <c r="K55"/>
      <c r="L55"/>
    </row>
    <row r="56" spans="7:12" x14ac:dyDescent="0.3">
      <c r="G56"/>
      <c r="H56"/>
      <c r="I56"/>
    </row>
    <row r="57" spans="7:12" x14ac:dyDescent="0.3">
      <c r="G57"/>
      <c r="H57"/>
      <c r="I57"/>
    </row>
    <row r="58" spans="7:12" x14ac:dyDescent="0.3">
      <c r="G58"/>
      <c r="H58"/>
      <c r="I58"/>
    </row>
    <row r="59" spans="7:12" x14ac:dyDescent="0.3">
      <c r="G59"/>
      <c r="H59"/>
      <c r="I59"/>
    </row>
    <row r="60" spans="7:12" x14ac:dyDescent="0.3">
      <c r="G60"/>
      <c r="H60"/>
      <c r="I60"/>
    </row>
    <row r="61" spans="7:12" x14ac:dyDescent="0.3">
      <c r="G61"/>
      <c r="H61"/>
      <c r="I61"/>
    </row>
    <row r="62" spans="7:12" x14ac:dyDescent="0.3">
      <c r="G62"/>
      <c r="H62"/>
      <c r="I62"/>
    </row>
    <row r="63" spans="7:12" x14ac:dyDescent="0.3">
      <c r="G63"/>
      <c r="H63"/>
      <c r="I63"/>
    </row>
    <row r="64" spans="7:12" x14ac:dyDescent="0.3">
      <c r="G64"/>
      <c r="H64"/>
      <c r="I64"/>
    </row>
    <row r="65" spans="7:9" x14ac:dyDescent="0.3">
      <c r="G65"/>
      <c r="H65"/>
      <c r="I65"/>
    </row>
    <row r="66" spans="7:9" x14ac:dyDescent="0.3">
      <c r="G66"/>
      <c r="H66"/>
      <c r="I66"/>
    </row>
    <row r="67" spans="7:9" x14ac:dyDescent="0.3">
      <c r="G67"/>
      <c r="H67"/>
      <c r="I67"/>
    </row>
    <row r="68" spans="7:9" x14ac:dyDescent="0.3">
      <c r="G68"/>
      <c r="H68"/>
      <c r="I68"/>
    </row>
    <row r="69" spans="7:9" x14ac:dyDescent="0.3">
      <c r="G69"/>
      <c r="H69"/>
    </row>
    <row r="70" spans="7:9" x14ac:dyDescent="0.3">
      <c r="G70"/>
      <c r="H70"/>
    </row>
    <row r="71" spans="7:9" x14ac:dyDescent="0.3">
      <c r="G71"/>
      <c r="H71"/>
    </row>
    <row r="72" spans="7:9" x14ac:dyDescent="0.3">
      <c r="G72"/>
      <c r="H72"/>
    </row>
    <row r="73" spans="7:9" x14ac:dyDescent="0.3">
      <c r="G73"/>
      <c r="H73"/>
    </row>
    <row r="74" spans="7:9" x14ac:dyDescent="0.3">
      <c r="G74"/>
      <c r="H74"/>
    </row>
    <row r="75" spans="7:9" x14ac:dyDescent="0.3">
      <c r="G75"/>
      <c r="H75"/>
    </row>
    <row r="76" spans="7:9" x14ac:dyDescent="0.3">
      <c r="G76"/>
      <c r="H76"/>
    </row>
    <row r="77" spans="7:9" x14ac:dyDescent="0.3">
      <c r="G77"/>
      <c r="H77"/>
    </row>
    <row r="78" spans="7:9" x14ac:dyDescent="0.3">
      <c r="G78"/>
      <c r="H78"/>
    </row>
    <row r="79" spans="7:9" x14ac:dyDescent="0.3">
      <c r="G79"/>
      <c r="H79"/>
    </row>
    <row r="80" spans="7:9" x14ac:dyDescent="0.3">
      <c r="G80"/>
      <c r="H80"/>
    </row>
    <row r="81" spans="7:8" x14ac:dyDescent="0.3">
      <c r="G81"/>
      <c r="H81"/>
    </row>
    <row r="82" spans="7:8" x14ac:dyDescent="0.3">
      <c r="G82"/>
      <c r="H82"/>
    </row>
    <row r="83" spans="7:8" x14ac:dyDescent="0.3">
      <c r="G83"/>
      <c r="H83"/>
    </row>
    <row r="84" spans="7:8" x14ac:dyDescent="0.3">
      <c r="G84"/>
      <c r="H84"/>
    </row>
    <row r="85" spans="7:8" x14ac:dyDescent="0.3">
      <c r="G85"/>
      <c r="H85"/>
    </row>
    <row r="86" spans="7:8" x14ac:dyDescent="0.3">
      <c r="G86"/>
      <c r="H86"/>
    </row>
    <row r="87" spans="7:8" x14ac:dyDescent="0.3">
      <c r="G87"/>
      <c r="H87"/>
    </row>
    <row r="88" spans="7:8" x14ac:dyDescent="0.3">
      <c r="G88"/>
      <c r="H88"/>
    </row>
    <row r="89" spans="7:8" x14ac:dyDescent="0.3">
      <c r="G89"/>
      <c r="H89"/>
    </row>
    <row r="90" spans="7:8" x14ac:dyDescent="0.3">
      <c r="G90"/>
      <c r="H90"/>
    </row>
    <row r="91" spans="7:8" x14ac:dyDescent="0.3">
      <c r="G91"/>
      <c r="H91"/>
    </row>
  </sheetData>
  <mergeCells count="2">
    <mergeCell ref="A1:I2"/>
    <mergeCell ref="G3:G5"/>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91"/>
  <sheetViews>
    <sheetView showGridLines="0" topLeftCell="A23" zoomScale="120" zoomScaleNormal="120" workbookViewId="0">
      <selection activeCell="H4" sqref="H4"/>
    </sheetView>
  </sheetViews>
  <sheetFormatPr defaultColWidth="8.8984375" defaultRowHeight="14.4" x14ac:dyDescent="0.3"/>
  <cols>
    <col min="1" max="1" width="8.8984375" style="19" customWidth="1"/>
    <col min="2" max="2" width="18.796875" style="4" customWidth="1"/>
    <col min="3" max="3" width="17" style="4" customWidth="1"/>
    <col min="4" max="4" width="25.59765625" style="4" bestFit="1" customWidth="1"/>
    <col min="5" max="5" width="12.19921875" style="4" bestFit="1" customWidth="1"/>
    <col min="6" max="6" width="8.8984375" style="4"/>
    <col min="7" max="7" width="15.296875" style="4" customWidth="1"/>
    <col min="8" max="8" width="32.19921875" style="4" customWidth="1"/>
    <col min="9" max="9" width="12.19921875" style="59" customWidth="1"/>
    <col min="10" max="10" width="10.69921875" style="4" customWidth="1"/>
    <col min="11" max="11" width="11.296875" style="4" customWidth="1"/>
    <col min="12" max="12" width="7.3984375" style="4" customWidth="1"/>
    <col min="13" max="13" width="10.09765625" style="4" bestFit="1" customWidth="1"/>
    <col min="14" max="14" width="10.69921875" style="4" bestFit="1" customWidth="1"/>
    <col min="15" max="15" width="7.3984375" style="4" customWidth="1"/>
    <col min="16" max="16" width="11.296875" style="4" bestFit="1" customWidth="1"/>
    <col min="17" max="16384" width="8.8984375" style="4"/>
  </cols>
  <sheetData>
    <row r="1" spans="1:16" x14ac:dyDescent="0.3">
      <c r="A1" s="76" t="s">
        <v>119</v>
      </c>
      <c r="B1" s="76"/>
      <c r="C1" s="76"/>
      <c r="D1" s="76"/>
      <c r="E1" s="76"/>
      <c r="F1" s="76"/>
      <c r="G1" s="76"/>
      <c r="H1" s="76"/>
      <c r="I1" s="76"/>
    </row>
    <row r="2" spans="1:16" x14ac:dyDescent="0.3">
      <c r="A2" s="76"/>
      <c r="B2" s="76"/>
      <c r="C2" s="76"/>
      <c r="D2" s="76"/>
      <c r="E2" s="76"/>
      <c r="F2" s="76"/>
      <c r="G2" s="76"/>
      <c r="H2" s="76"/>
      <c r="I2" s="76"/>
    </row>
    <row r="3" spans="1:16" x14ac:dyDescent="0.3">
      <c r="G3" s="77"/>
    </row>
    <row r="4" spans="1:16" x14ac:dyDescent="0.3">
      <c r="B4" s="18"/>
      <c r="G4" s="77"/>
    </row>
    <row r="5" spans="1:16" x14ac:dyDescent="0.3">
      <c r="G5" s="77"/>
    </row>
    <row r="6" spans="1:16" x14ac:dyDescent="0.3">
      <c r="A6" s="19" t="s">
        <v>19</v>
      </c>
      <c r="B6" s="4" t="s">
        <v>140</v>
      </c>
      <c r="H6" s="4" t="s">
        <v>168</v>
      </c>
      <c r="I6" s="60"/>
    </row>
    <row r="7" spans="1:16" x14ac:dyDescent="0.3">
      <c r="H7" s="58" t="s">
        <v>31</v>
      </c>
      <c r="I7" s="60" t="s">
        <v>54</v>
      </c>
      <c r="J7"/>
      <c r="K7"/>
      <c r="L7"/>
      <c r="M7"/>
      <c r="N7"/>
      <c r="O7"/>
      <c r="P7"/>
    </row>
    <row r="8" spans="1:16" x14ac:dyDescent="0.3">
      <c r="B8" s="33"/>
      <c r="H8" s="22" t="s">
        <v>60</v>
      </c>
      <c r="I8" s="60">
        <v>1484000</v>
      </c>
      <c r="J8"/>
      <c r="K8"/>
      <c r="L8"/>
      <c r="M8"/>
      <c r="N8"/>
      <c r="O8"/>
      <c r="P8"/>
    </row>
    <row r="9" spans="1:16" x14ac:dyDescent="0.3">
      <c r="H9" s="32" t="s">
        <v>48</v>
      </c>
      <c r="I9" s="60">
        <v>254000</v>
      </c>
      <c r="J9"/>
      <c r="K9"/>
      <c r="L9"/>
      <c r="M9"/>
      <c r="N9"/>
      <c r="O9"/>
      <c r="P9"/>
    </row>
    <row r="10" spans="1:16" x14ac:dyDescent="0.3">
      <c r="A10" s="19" t="s">
        <v>20</v>
      </c>
      <c r="B10" s="4" t="s">
        <v>120</v>
      </c>
      <c r="H10" s="36" t="s">
        <v>85</v>
      </c>
      <c r="I10" s="60">
        <v>55000</v>
      </c>
      <c r="J10"/>
      <c r="K10"/>
      <c r="L10"/>
      <c r="M10"/>
      <c r="N10"/>
      <c r="O10"/>
      <c r="P10"/>
    </row>
    <row r="11" spans="1:16" x14ac:dyDescent="0.3">
      <c r="B11" s="4" t="s">
        <v>141</v>
      </c>
      <c r="H11" s="36" t="s">
        <v>94</v>
      </c>
      <c r="I11" s="60">
        <v>42000</v>
      </c>
      <c r="J11"/>
      <c r="K11"/>
      <c r="L11"/>
      <c r="M11"/>
      <c r="N11"/>
      <c r="O11"/>
      <c r="P11"/>
    </row>
    <row r="12" spans="1:16" x14ac:dyDescent="0.3">
      <c r="H12" s="36" t="s">
        <v>67</v>
      </c>
      <c r="I12" s="60">
        <v>47000</v>
      </c>
      <c r="J12"/>
      <c r="K12"/>
    </row>
    <row r="13" spans="1:16" x14ac:dyDescent="0.3">
      <c r="H13" s="36" t="s">
        <v>86</v>
      </c>
      <c r="I13" s="60">
        <v>51000</v>
      </c>
      <c r="J13"/>
      <c r="K13"/>
    </row>
    <row r="14" spans="1:16" x14ac:dyDescent="0.3">
      <c r="A14" s="19" t="s">
        <v>21</v>
      </c>
      <c r="B14" s="4" t="s">
        <v>121</v>
      </c>
      <c r="H14" s="36" t="s">
        <v>47</v>
      </c>
      <c r="I14" s="60">
        <v>59000</v>
      </c>
      <c r="J14"/>
      <c r="K14"/>
    </row>
    <row r="15" spans="1:16" x14ac:dyDescent="0.3">
      <c r="B15" s="4" t="s">
        <v>122</v>
      </c>
      <c r="H15" s="32" t="s">
        <v>43</v>
      </c>
      <c r="I15" s="60">
        <v>459000</v>
      </c>
      <c r="J15"/>
      <c r="K15"/>
    </row>
    <row r="16" spans="1:16" x14ac:dyDescent="0.3">
      <c r="H16" s="36" t="s">
        <v>73</v>
      </c>
      <c r="I16" s="60">
        <v>84000</v>
      </c>
      <c r="J16"/>
      <c r="K16"/>
      <c r="L16"/>
    </row>
    <row r="17" spans="1:13" x14ac:dyDescent="0.3">
      <c r="A17" s="19" t="s">
        <v>22</v>
      </c>
      <c r="B17" s="4" t="s">
        <v>128</v>
      </c>
      <c r="H17" s="36" t="s">
        <v>101</v>
      </c>
      <c r="I17" s="60">
        <v>53000</v>
      </c>
      <c r="J17" s="22"/>
      <c r="K17" s="23"/>
      <c r="L17"/>
    </row>
    <row r="18" spans="1:13" x14ac:dyDescent="0.3">
      <c r="B18" s="4" t="s">
        <v>142</v>
      </c>
      <c r="G18"/>
      <c r="H18" s="36" t="s">
        <v>42</v>
      </c>
      <c r="I18" s="60">
        <v>45000</v>
      </c>
      <c r="J18" s="22"/>
      <c r="K18" s="23"/>
      <c r="L18"/>
    </row>
    <row r="19" spans="1:13" x14ac:dyDescent="0.3">
      <c r="B19" s="33"/>
      <c r="G19"/>
      <c r="H19" s="36" t="s">
        <v>74</v>
      </c>
      <c r="I19" s="60">
        <v>56000</v>
      </c>
      <c r="J19" s="22"/>
      <c r="K19" s="23"/>
      <c r="L19"/>
      <c r="M19"/>
    </row>
    <row r="20" spans="1:13" x14ac:dyDescent="0.3">
      <c r="A20" s="19" t="s">
        <v>127</v>
      </c>
      <c r="B20" s="4" t="s">
        <v>143</v>
      </c>
      <c r="G20"/>
      <c r="H20" s="36" t="s">
        <v>81</v>
      </c>
      <c r="I20" s="60">
        <v>63000</v>
      </c>
      <c r="J20" s="22"/>
      <c r="K20" s="23"/>
      <c r="L20"/>
      <c r="M20"/>
    </row>
    <row r="21" spans="1:13" x14ac:dyDescent="0.3">
      <c r="B21" s="4" t="s">
        <v>103</v>
      </c>
      <c r="G21"/>
      <c r="H21" s="36" t="s">
        <v>95</v>
      </c>
      <c r="I21" s="60">
        <v>56000</v>
      </c>
      <c r="J21" s="22"/>
      <c r="K21" s="23"/>
      <c r="L21"/>
      <c r="M21"/>
    </row>
    <row r="22" spans="1:13" x14ac:dyDescent="0.3">
      <c r="B22"/>
      <c r="C22" s="29"/>
      <c r="E22" s="30"/>
      <c r="G22"/>
      <c r="H22" s="36" t="s">
        <v>97</v>
      </c>
      <c r="I22" s="60">
        <v>47000</v>
      </c>
      <c r="J22" s="22"/>
      <c r="K22" s="23"/>
      <c r="L22"/>
      <c r="M22"/>
    </row>
    <row r="23" spans="1:13" x14ac:dyDescent="0.3">
      <c r="B23" s="4" t="s">
        <v>127</v>
      </c>
      <c r="C23" s="29"/>
      <c r="E23" s="30"/>
      <c r="G23"/>
      <c r="H23" s="36" t="s">
        <v>90</v>
      </c>
      <c r="I23" s="60">
        <v>55000</v>
      </c>
      <c r="J23"/>
      <c r="K23"/>
      <c r="L23"/>
      <c r="M23"/>
    </row>
    <row r="24" spans="1:13" x14ac:dyDescent="0.3">
      <c r="B24" s="58" t="s">
        <v>102</v>
      </c>
      <c r="C24" s="21" t="s">
        <v>34</v>
      </c>
      <c r="D24" s="21" t="s">
        <v>33</v>
      </c>
      <c r="E24" s="60" t="s">
        <v>54</v>
      </c>
      <c r="H24" s="32" t="s">
        <v>37</v>
      </c>
      <c r="I24" s="60">
        <v>771000</v>
      </c>
      <c r="J24"/>
      <c r="K24"/>
      <c r="L24"/>
      <c r="M24"/>
    </row>
    <row r="25" spans="1:13" x14ac:dyDescent="0.3">
      <c r="B25" t="s">
        <v>60</v>
      </c>
      <c r="C25" t="s">
        <v>48</v>
      </c>
      <c r="D25" t="s">
        <v>85</v>
      </c>
      <c r="E25" s="60">
        <v>55000</v>
      </c>
      <c r="H25" s="36" t="s">
        <v>36</v>
      </c>
      <c r="I25" s="60">
        <v>45000</v>
      </c>
      <c r="J25"/>
      <c r="K25"/>
      <c r="L25"/>
      <c r="M25"/>
    </row>
    <row r="26" spans="1:13" x14ac:dyDescent="0.3">
      <c r="B26"/>
      <c r="C26"/>
      <c r="D26" t="s">
        <v>94</v>
      </c>
      <c r="E26" s="60">
        <v>42000</v>
      </c>
      <c r="G26"/>
      <c r="H26" s="36" t="s">
        <v>65</v>
      </c>
      <c r="I26" s="60">
        <v>56000</v>
      </c>
      <c r="J26"/>
      <c r="K26"/>
      <c r="L26"/>
      <c r="M26"/>
    </row>
    <row r="27" spans="1:13" x14ac:dyDescent="0.3">
      <c r="B27"/>
      <c r="C27"/>
      <c r="D27" t="s">
        <v>67</v>
      </c>
      <c r="E27" s="60">
        <v>47000</v>
      </c>
      <c r="H27" s="36" t="s">
        <v>87</v>
      </c>
      <c r="I27" s="60">
        <v>40000</v>
      </c>
      <c r="J27"/>
      <c r="K27"/>
      <c r="L27"/>
      <c r="M27"/>
    </row>
    <row r="28" spans="1:13" x14ac:dyDescent="0.3">
      <c r="B28"/>
      <c r="C28"/>
      <c r="D28" t="s">
        <v>86</v>
      </c>
      <c r="E28" s="60">
        <v>51000</v>
      </c>
      <c r="H28" s="36" t="s">
        <v>72</v>
      </c>
      <c r="I28" s="60">
        <v>58000</v>
      </c>
      <c r="J28"/>
      <c r="K28"/>
      <c r="L28"/>
      <c r="M28"/>
    </row>
    <row r="29" spans="1:13" x14ac:dyDescent="0.3">
      <c r="B29"/>
      <c r="C29"/>
      <c r="D29" t="s">
        <v>47</v>
      </c>
      <c r="E29" s="60">
        <v>59000</v>
      </c>
      <c r="H29" s="36" t="s">
        <v>66</v>
      </c>
      <c r="I29" s="60">
        <v>53000</v>
      </c>
      <c r="J29"/>
      <c r="K29"/>
      <c r="L29"/>
      <c r="M29"/>
    </row>
    <row r="30" spans="1:13" x14ac:dyDescent="0.3">
      <c r="B30"/>
      <c r="C30" t="s">
        <v>161</v>
      </c>
      <c r="D30"/>
      <c r="E30" s="60">
        <v>254000</v>
      </c>
      <c r="H30" s="36" t="s">
        <v>96</v>
      </c>
      <c r="I30" s="60">
        <v>61000</v>
      </c>
      <c r="J30"/>
      <c r="K30"/>
      <c r="L30"/>
      <c r="M30"/>
    </row>
    <row r="31" spans="1:13" x14ac:dyDescent="0.3">
      <c r="B31"/>
      <c r="C31" t="s">
        <v>43</v>
      </c>
      <c r="D31" t="s">
        <v>73</v>
      </c>
      <c r="E31" s="60">
        <v>84000</v>
      </c>
      <c r="H31" s="36" t="s">
        <v>88</v>
      </c>
      <c r="I31" s="60">
        <v>65000</v>
      </c>
      <c r="J31"/>
      <c r="K31"/>
      <c r="L31"/>
      <c r="M31"/>
    </row>
    <row r="32" spans="1:13" x14ac:dyDescent="0.3">
      <c r="B32"/>
      <c r="C32"/>
      <c r="D32" t="s">
        <v>101</v>
      </c>
      <c r="E32" s="60">
        <v>53000</v>
      </c>
      <c r="H32" s="36" t="s">
        <v>92</v>
      </c>
      <c r="I32" s="60">
        <v>56000</v>
      </c>
      <c r="J32"/>
      <c r="K32"/>
      <c r="L32"/>
      <c r="M32"/>
    </row>
    <row r="33" spans="2:13" x14ac:dyDescent="0.3">
      <c r="B33"/>
      <c r="C33"/>
      <c r="D33" t="s">
        <v>42</v>
      </c>
      <c r="E33" s="60">
        <v>45000</v>
      </c>
      <c r="H33" s="36" t="s">
        <v>70</v>
      </c>
      <c r="I33" s="60">
        <v>42000</v>
      </c>
      <c r="J33"/>
      <c r="K33"/>
      <c r="L33"/>
      <c r="M33"/>
    </row>
    <row r="34" spans="2:13" x14ac:dyDescent="0.3">
      <c r="B34"/>
      <c r="C34"/>
      <c r="D34" t="s">
        <v>74</v>
      </c>
      <c r="E34" s="60">
        <v>56000</v>
      </c>
      <c r="H34" s="36" t="s">
        <v>84</v>
      </c>
      <c r="I34" s="60">
        <v>63000</v>
      </c>
      <c r="K34"/>
      <c r="L34"/>
      <c r="M34"/>
    </row>
    <row r="35" spans="2:13" x14ac:dyDescent="0.3">
      <c r="B35"/>
      <c r="C35"/>
      <c r="D35" t="s">
        <v>81</v>
      </c>
      <c r="E35" s="60">
        <v>63000</v>
      </c>
      <c r="H35" s="36" t="s">
        <v>39</v>
      </c>
      <c r="I35" s="60">
        <v>54000</v>
      </c>
      <c r="K35"/>
      <c r="L35"/>
      <c r="M35"/>
    </row>
    <row r="36" spans="2:13" x14ac:dyDescent="0.3">
      <c r="B36"/>
      <c r="C36"/>
      <c r="D36" t="s">
        <v>95</v>
      </c>
      <c r="E36" s="60">
        <v>56000</v>
      </c>
      <c r="H36" s="36" t="s">
        <v>38</v>
      </c>
      <c r="I36" s="60">
        <v>59000</v>
      </c>
      <c r="K36"/>
      <c r="L36"/>
      <c r="M36"/>
    </row>
    <row r="37" spans="2:13" x14ac:dyDescent="0.3">
      <c r="B37"/>
      <c r="C37"/>
      <c r="D37" t="s">
        <v>97</v>
      </c>
      <c r="E37" s="60">
        <v>47000</v>
      </c>
      <c r="H37" s="36" t="s">
        <v>51</v>
      </c>
      <c r="I37" s="60">
        <v>62000</v>
      </c>
    </row>
    <row r="38" spans="2:13" x14ac:dyDescent="0.3">
      <c r="B38"/>
      <c r="C38"/>
      <c r="D38" t="s">
        <v>90</v>
      </c>
      <c r="E38" s="60">
        <v>55000</v>
      </c>
      <c r="H38" s="36" t="s">
        <v>75</v>
      </c>
      <c r="I38" s="60">
        <v>57000</v>
      </c>
    </row>
    <row r="39" spans="2:13" x14ac:dyDescent="0.3">
      <c r="B39"/>
      <c r="C39" t="s">
        <v>162</v>
      </c>
      <c r="D39"/>
      <c r="E39" s="60">
        <v>459000</v>
      </c>
      <c r="H39" s="22" t="s">
        <v>69</v>
      </c>
      <c r="I39" s="60">
        <v>661000</v>
      </c>
    </row>
    <row r="40" spans="2:13" x14ac:dyDescent="0.3">
      <c r="B40"/>
      <c r="C40" t="s">
        <v>37</v>
      </c>
      <c r="D40" t="s">
        <v>36</v>
      </c>
      <c r="E40" s="60">
        <v>45000</v>
      </c>
      <c r="H40" s="32" t="s">
        <v>160</v>
      </c>
      <c r="I40" s="60">
        <v>250000</v>
      </c>
    </row>
    <row r="41" spans="2:13" x14ac:dyDescent="0.3">
      <c r="B41"/>
      <c r="C41"/>
      <c r="D41" t="s">
        <v>65</v>
      </c>
      <c r="E41" s="60">
        <v>56000</v>
      </c>
      <c r="H41" s="36" t="s">
        <v>45</v>
      </c>
      <c r="I41" s="60">
        <v>40000</v>
      </c>
    </row>
    <row r="42" spans="2:13" x14ac:dyDescent="0.3">
      <c r="B42"/>
      <c r="C42"/>
      <c r="D42" t="s">
        <v>87</v>
      </c>
      <c r="E42" s="60">
        <v>40000</v>
      </c>
      <c r="H42" s="36" t="s">
        <v>59</v>
      </c>
      <c r="I42" s="60">
        <v>61000</v>
      </c>
    </row>
    <row r="43" spans="2:13" x14ac:dyDescent="0.3">
      <c r="B43"/>
      <c r="C43"/>
      <c r="D43" t="s">
        <v>72</v>
      </c>
      <c r="E43" s="60">
        <v>58000</v>
      </c>
      <c r="H43" s="36" t="s">
        <v>63</v>
      </c>
      <c r="I43" s="60">
        <v>45000</v>
      </c>
    </row>
    <row r="44" spans="2:13" x14ac:dyDescent="0.3">
      <c r="B44"/>
      <c r="C44"/>
      <c r="D44" t="s">
        <v>66</v>
      </c>
      <c r="E44" s="60">
        <v>53000</v>
      </c>
      <c r="H44" s="36" t="s">
        <v>83</v>
      </c>
      <c r="I44" s="60">
        <v>47000</v>
      </c>
    </row>
    <row r="45" spans="2:13" x14ac:dyDescent="0.3">
      <c r="B45"/>
      <c r="C45"/>
      <c r="D45" t="s">
        <v>96</v>
      </c>
      <c r="E45" s="60">
        <v>61000</v>
      </c>
      <c r="G45"/>
      <c r="H45" s="36" t="s">
        <v>49</v>
      </c>
      <c r="I45" s="60">
        <v>57000</v>
      </c>
    </row>
    <row r="46" spans="2:13" x14ac:dyDescent="0.3">
      <c r="B46"/>
      <c r="C46"/>
      <c r="D46" t="s">
        <v>88</v>
      </c>
      <c r="E46" s="60">
        <v>65000</v>
      </c>
      <c r="G46"/>
      <c r="H46" s="32" t="s">
        <v>41</v>
      </c>
      <c r="I46" s="60">
        <v>411000</v>
      </c>
    </row>
    <row r="47" spans="2:13" x14ac:dyDescent="0.3">
      <c r="B47"/>
      <c r="C47"/>
      <c r="D47" t="s">
        <v>92</v>
      </c>
      <c r="E47" s="60">
        <v>56000</v>
      </c>
      <c r="G47"/>
      <c r="H47" s="36" t="s">
        <v>44</v>
      </c>
      <c r="I47" s="60">
        <v>47000</v>
      </c>
    </row>
    <row r="48" spans="2:13" x14ac:dyDescent="0.3">
      <c r="B48"/>
      <c r="C48"/>
      <c r="D48" t="s">
        <v>70</v>
      </c>
      <c r="E48" s="60">
        <v>42000</v>
      </c>
      <c r="G48"/>
      <c r="H48" s="36" t="s">
        <v>50</v>
      </c>
      <c r="I48" s="60">
        <v>42000</v>
      </c>
    </row>
    <row r="49" spans="2:9" x14ac:dyDescent="0.3">
      <c r="B49"/>
      <c r="C49"/>
      <c r="D49" t="s">
        <v>84</v>
      </c>
      <c r="E49" s="60">
        <v>63000</v>
      </c>
      <c r="G49"/>
      <c r="H49" s="36" t="s">
        <v>64</v>
      </c>
      <c r="I49" s="60">
        <v>59000</v>
      </c>
    </row>
    <row r="50" spans="2:9" x14ac:dyDescent="0.3">
      <c r="B50"/>
      <c r="C50"/>
      <c r="D50" t="s">
        <v>39</v>
      </c>
      <c r="E50" s="60">
        <v>54000</v>
      </c>
      <c r="G50"/>
      <c r="H50" s="36" t="s">
        <v>40</v>
      </c>
      <c r="I50" s="60">
        <v>44000</v>
      </c>
    </row>
    <row r="51" spans="2:9" x14ac:dyDescent="0.3">
      <c r="B51"/>
      <c r="C51"/>
      <c r="D51" t="s">
        <v>38</v>
      </c>
      <c r="E51" s="60">
        <v>59000</v>
      </c>
      <c r="G51"/>
      <c r="H51" s="36" t="s">
        <v>82</v>
      </c>
      <c r="I51" s="60">
        <v>50000</v>
      </c>
    </row>
    <row r="52" spans="2:9" x14ac:dyDescent="0.3">
      <c r="B52"/>
      <c r="C52"/>
      <c r="D52" t="s">
        <v>51</v>
      </c>
      <c r="E52" s="60">
        <v>62000</v>
      </c>
      <c r="G52"/>
      <c r="H52" s="36" t="s">
        <v>93</v>
      </c>
      <c r="I52" s="60">
        <v>45000</v>
      </c>
    </row>
    <row r="53" spans="2:9" x14ac:dyDescent="0.3">
      <c r="B53"/>
      <c r="C53"/>
      <c r="D53" t="s">
        <v>75</v>
      </c>
      <c r="E53" s="60">
        <v>57000</v>
      </c>
      <c r="G53"/>
      <c r="H53" s="36" t="s">
        <v>89</v>
      </c>
      <c r="I53" s="60">
        <v>61000</v>
      </c>
    </row>
    <row r="54" spans="2:9" x14ac:dyDescent="0.3">
      <c r="B54"/>
      <c r="C54" t="s">
        <v>163</v>
      </c>
      <c r="D54"/>
      <c r="E54" s="60">
        <v>771000</v>
      </c>
      <c r="G54"/>
      <c r="H54" s="36" t="s">
        <v>58</v>
      </c>
      <c r="I54" s="60">
        <v>63000</v>
      </c>
    </row>
    <row r="55" spans="2:9" x14ac:dyDescent="0.3">
      <c r="B55" t="s">
        <v>164</v>
      </c>
      <c r="C55"/>
      <c r="D55"/>
      <c r="E55" s="60">
        <v>1484000</v>
      </c>
      <c r="G55"/>
      <c r="H55" s="22" t="s">
        <v>32</v>
      </c>
      <c r="I55" s="60">
        <v>2145000</v>
      </c>
    </row>
    <row r="56" spans="2:9" x14ac:dyDescent="0.3">
      <c r="B56" t="s">
        <v>69</v>
      </c>
      <c r="C56" t="s">
        <v>160</v>
      </c>
      <c r="D56" t="s">
        <v>45</v>
      </c>
      <c r="E56" s="60">
        <v>40000</v>
      </c>
      <c r="G56"/>
      <c r="H56"/>
    </row>
    <row r="57" spans="2:9" x14ac:dyDescent="0.3">
      <c r="B57"/>
      <c r="C57"/>
      <c r="D57" t="s">
        <v>59</v>
      </c>
      <c r="E57" s="60">
        <v>61000</v>
      </c>
      <c r="G57"/>
      <c r="H57"/>
    </row>
    <row r="58" spans="2:9" x14ac:dyDescent="0.3">
      <c r="B58"/>
      <c r="C58"/>
      <c r="D58" t="s">
        <v>63</v>
      </c>
      <c r="E58" s="60">
        <v>45000</v>
      </c>
      <c r="G58"/>
      <c r="H58"/>
    </row>
    <row r="59" spans="2:9" x14ac:dyDescent="0.3">
      <c r="B59"/>
      <c r="C59"/>
      <c r="D59" t="s">
        <v>83</v>
      </c>
      <c r="E59" s="60">
        <v>47000</v>
      </c>
      <c r="G59"/>
      <c r="H59"/>
    </row>
    <row r="60" spans="2:9" x14ac:dyDescent="0.3">
      <c r="B60"/>
      <c r="C60"/>
      <c r="D60" t="s">
        <v>49</v>
      </c>
      <c r="E60" s="60">
        <v>57000</v>
      </c>
      <c r="G60"/>
      <c r="H60"/>
    </row>
    <row r="61" spans="2:9" x14ac:dyDescent="0.3">
      <c r="B61"/>
      <c r="C61" t="s">
        <v>165</v>
      </c>
      <c r="D61"/>
      <c r="E61" s="60">
        <v>250000</v>
      </c>
      <c r="G61"/>
      <c r="H61"/>
    </row>
    <row r="62" spans="2:9" x14ac:dyDescent="0.3">
      <c r="B62"/>
      <c r="C62" t="s">
        <v>41</v>
      </c>
      <c r="D62" t="s">
        <v>44</v>
      </c>
      <c r="E62" s="60">
        <v>47000</v>
      </c>
      <c r="G62"/>
      <c r="H62"/>
    </row>
    <row r="63" spans="2:9" x14ac:dyDescent="0.3">
      <c r="B63"/>
      <c r="C63"/>
      <c r="D63" t="s">
        <v>50</v>
      </c>
      <c r="E63" s="60">
        <v>42000</v>
      </c>
      <c r="G63"/>
      <c r="H63"/>
    </row>
    <row r="64" spans="2:9" x14ac:dyDescent="0.3">
      <c r="B64"/>
      <c r="C64"/>
      <c r="D64" t="s">
        <v>64</v>
      </c>
      <c r="E64" s="60">
        <v>59000</v>
      </c>
      <c r="G64"/>
      <c r="H64"/>
    </row>
    <row r="65" spans="2:8" x14ac:dyDescent="0.3">
      <c r="B65"/>
      <c r="C65"/>
      <c r="D65" t="s">
        <v>40</v>
      </c>
      <c r="E65" s="60">
        <v>44000</v>
      </c>
      <c r="G65"/>
      <c r="H65"/>
    </row>
    <row r="66" spans="2:8" x14ac:dyDescent="0.3">
      <c r="B66"/>
      <c r="C66"/>
      <c r="D66" t="s">
        <v>82</v>
      </c>
      <c r="E66" s="60">
        <v>50000</v>
      </c>
      <c r="G66"/>
      <c r="H66"/>
    </row>
    <row r="67" spans="2:8" x14ac:dyDescent="0.3">
      <c r="B67"/>
      <c r="C67"/>
      <c r="D67" t="s">
        <v>93</v>
      </c>
      <c r="E67" s="60">
        <v>45000</v>
      </c>
      <c r="G67"/>
      <c r="H67"/>
    </row>
    <row r="68" spans="2:8" x14ac:dyDescent="0.3">
      <c r="B68"/>
      <c r="C68"/>
      <c r="D68" t="s">
        <v>89</v>
      </c>
      <c r="E68" s="60">
        <v>61000</v>
      </c>
      <c r="G68"/>
      <c r="H68"/>
    </row>
    <row r="69" spans="2:8" x14ac:dyDescent="0.3">
      <c r="B69"/>
      <c r="C69"/>
      <c r="D69" t="s">
        <v>58</v>
      </c>
      <c r="E69" s="60">
        <v>63000</v>
      </c>
      <c r="G69"/>
      <c r="H69"/>
    </row>
    <row r="70" spans="2:8" x14ac:dyDescent="0.3">
      <c r="B70"/>
      <c r="C70" t="s">
        <v>166</v>
      </c>
      <c r="D70"/>
      <c r="E70" s="60">
        <v>411000</v>
      </c>
      <c r="G70"/>
      <c r="H70"/>
    </row>
    <row r="71" spans="2:8" x14ac:dyDescent="0.3">
      <c r="B71" t="s">
        <v>167</v>
      </c>
      <c r="C71"/>
      <c r="D71"/>
      <c r="E71" s="60">
        <v>661000</v>
      </c>
      <c r="G71"/>
      <c r="H71"/>
    </row>
    <row r="72" spans="2:8" x14ac:dyDescent="0.3">
      <c r="B72" t="s">
        <v>32</v>
      </c>
      <c r="C72"/>
      <c r="D72"/>
      <c r="E72" s="60">
        <v>2145000</v>
      </c>
      <c r="G72"/>
      <c r="H72"/>
    </row>
    <row r="73" spans="2:8" x14ac:dyDescent="0.3">
      <c r="G73"/>
      <c r="H73"/>
    </row>
    <row r="74" spans="2:8" x14ac:dyDescent="0.3">
      <c r="G74"/>
      <c r="H74"/>
    </row>
    <row r="75" spans="2:8" x14ac:dyDescent="0.3">
      <c r="G75"/>
      <c r="H75"/>
    </row>
    <row r="76" spans="2:8" x14ac:dyDescent="0.3">
      <c r="G76"/>
      <c r="H76"/>
    </row>
    <row r="77" spans="2:8" x14ac:dyDescent="0.3">
      <c r="G77"/>
      <c r="H77"/>
    </row>
    <row r="78" spans="2:8" x14ac:dyDescent="0.3">
      <c r="G78"/>
      <c r="H78"/>
    </row>
    <row r="79" spans="2:8" x14ac:dyDescent="0.3">
      <c r="G79"/>
      <c r="H79"/>
    </row>
    <row r="80" spans="2:8" x14ac:dyDescent="0.3">
      <c r="G80"/>
      <c r="H80"/>
    </row>
    <row r="81" spans="7:8" x14ac:dyDescent="0.3">
      <c r="G81"/>
      <c r="H81"/>
    </row>
    <row r="82" spans="7:8" x14ac:dyDescent="0.3">
      <c r="G82"/>
      <c r="H82"/>
    </row>
    <row r="83" spans="7:8" x14ac:dyDescent="0.3">
      <c r="G83"/>
      <c r="H83"/>
    </row>
    <row r="84" spans="7:8" x14ac:dyDescent="0.3">
      <c r="G84"/>
      <c r="H84"/>
    </row>
    <row r="85" spans="7:8" x14ac:dyDescent="0.3">
      <c r="G85"/>
      <c r="H85"/>
    </row>
    <row r="86" spans="7:8" x14ac:dyDescent="0.3">
      <c r="G86"/>
      <c r="H86"/>
    </row>
    <row r="87" spans="7:8" x14ac:dyDescent="0.3">
      <c r="G87"/>
      <c r="H87"/>
    </row>
    <row r="88" spans="7:8" x14ac:dyDescent="0.3">
      <c r="G88"/>
      <c r="H88"/>
    </row>
    <row r="89" spans="7:8" x14ac:dyDescent="0.3">
      <c r="G89"/>
      <c r="H89"/>
    </row>
    <row r="90" spans="7:8" x14ac:dyDescent="0.3">
      <c r="G90"/>
      <c r="H90"/>
    </row>
    <row r="91" spans="7:8" x14ac:dyDescent="0.3">
      <c r="G91"/>
      <c r="H91"/>
    </row>
  </sheetData>
  <mergeCells count="2">
    <mergeCell ref="A1:I2"/>
    <mergeCell ref="G3:G5"/>
  </mergeCells>
  <conditionalFormatting sqref="H10">
    <cfRule type="colorScale" priority="2">
      <colorScale>
        <cfvo type="min"/>
        <cfvo type="percentile" val="50"/>
        <cfvo type="max"/>
        <color rgb="FF63BE7B"/>
        <color rgb="FFFFEB84"/>
        <color rgb="FFF8696B"/>
      </colorScale>
    </cfRule>
  </conditionalFormatting>
  <conditionalFormatting pivot="1" sqref="I10:I14 I16:I23 I25:I38 I41:I45 I47:I5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91"/>
  <sheetViews>
    <sheetView showGridLines="0" topLeftCell="A21" zoomScale="130" zoomScaleNormal="130" workbookViewId="0">
      <selection activeCell="I28" sqref="I28"/>
    </sheetView>
  </sheetViews>
  <sheetFormatPr defaultColWidth="8.8984375" defaultRowHeight="14.4" x14ac:dyDescent="0.3"/>
  <cols>
    <col min="1" max="1" width="8.8984375" style="19" customWidth="1"/>
    <col min="2" max="2" width="30.59765625" style="4" customWidth="1"/>
    <col min="3" max="3" width="13" style="4" customWidth="1"/>
    <col min="4" max="5" width="6.59765625" style="4" customWidth="1"/>
    <col min="6" max="6" width="8.8984375" style="4"/>
    <col min="7" max="7" width="6.69921875" style="4" customWidth="1"/>
    <col min="8" max="8" width="5" style="4" customWidth="1"/>
    <col min="9" max="9" width="12.5" style="4" customWidth="1"/>
    <col min="10" max="10" width="12.19921875" style="4" customWidth="1"/>
    <col min="11" max="11" width="11.296875" style="4" customWidth="1"/>
    <col min="12" max="12" width="7.3984375" style="4" customWidth="1"/>
    <col min="13" max="13" width="10.09765625" style="4" bestFit="1" customWidth="1"/>
    <col min="14" max="14" width="10.69921875" style="4" bestFit="1" customWidth="1"/>
    <col min="15" max="15" width="7.3984375" style="4" customWidth="1"/>
    <col min="16" max="16" width="11.296875" style="4" bestFit="1" customWidth="1"/>
    <col min="17" max="16384" width="8.8984375" style="4"/>
  </cols>
  <sheetData>
    <row r="1" spans="1:16" x14ac:dyDescent="0.3">
      <c r="A1" s="76" t="s">
        <v>145</v>
      </c>
      <c r="B1" s="76"/>
      <c r="C1" s="76"/>
      <c r="D1" s="76"/>
      <c r="E1" s="76"/>
      <c r="F1" s="76"/>
      <c r="G1" s="76"/>
      <c r="H1" s="76"/>
      <c r="I1" s="76"/>
    </row>
    <row r="2" spans="1:16" x14ac:dyDescent="0.3">
      <c r="A2" s="76"/>
      <c r="B2" s="76"/>
      <c r="C2" s="76"/>
      <c r="D2" s="76"/>
      <c r="E2" s="76"/>
      <c r="F2" s="76"/>
      <c r="G2" s="76"/>
      <c r="H2" s="76"/>
      <c r="I2" s="76"/>
    </row>
    <row r="3" spans="1:16" x14ac:dyDescent="0.3">
      <c r="G3" s="77"/>
    </row>
    <row r="4" spans="1:16" x14ac:dyDescent="0.3">
      <c r="B4" s="18"/>
      <c r="G4" s="77"/>
    </row>
    <row r="5" spans="1:16" x14ac:dyDescent="0.3">
      <c r="G5" s="77"/>
    </row>
    <row r="6" spans="1:16" x14ac:dyDescent="0.3">
      <c r="A6" s="19" t="s">
        <v>19</v>
      </c>
      <c r="B6" s="4" t="s">
        <v>144</v>
      </c>
      <c r="H6"/>
      <c r="I6"/>
      <c r="J6"/>
      <c r="K6"/>
      <c r="L6"/>
      <c r="M6"/>
      <c r="N6"/>
      <c r="O6"/>
    </row>
    <row r="7" spans="1:16" x14ac:dyDescent="0.3">
      <c r="B7" s="4" t="s">
        <v>24</v>
      </c>
      <c r="H7"/>
      <c r="I7" s="21" t="s">
        <v>31</v>
      </c>
      <c r="J7" t="s">
        <v>54</v>
      </c>
      <c r="K7"/>
      <c r="L7"/>
      <c r="M7"/>
      <c r="N7"/>
      <c r="O7"/>
      <c r="P7"/>
    </row>
    <row r="8" spans="1:16" x14ac:dyDescent="0.3">
      <c r="B8" s="33"/>
      <c r="H8"/>
      <c r="I8" s="22" t="s">
        <v>37</v>
      </c>
      <c r="J8" s="37">
        <v>771000</v>
      </c>
      <c r="K8"/>
      <c r="L8"/>
      <c r="M8"/>
      <c r="N8"/>
      <c r="O8"/>
      <c r="P8"/>
    </row>
    <row r="9" spans="1:16" x14ac:dyDescent="0.3">
      <c r="H9"/>
      <c r="I9" s="22" t="s">
        <v>61</v>
      </c>
      <c r="J9" s="37">
        <v>362000</v>
      </c>
      <c r="K9"/>
      <c r="L9"/>
      <c r="M9"/>
      <c r="N9"/>
      <c r="O9"/>
      <c r="P9"/>
    </row>
    <row r="10" spans="1:16" x14ac:dyDescent="0.3">
      <c r="A10" s="19" t="s">
        <v>20</v>
      </c>
      <c r="B10" s="4" t="s">
        <v>124</v>
      </c>
      <c r="H10"/>
      <c r="I10" s="22" t="s">
        <v>48</v>
      </c>
      <c r="J10" s="37">
        <v>254000</v>
      </c>
      <c r="K10"/>
      <c r="L10"/>
      <c r="M10"/>
      <c r="N10"/>
      <c r="O10"/>
      <c r="P10"/>
    </row>
    <row r="11" spans="1:16" x14ac:dyDescent="0.3">
      <c r="B11" s="4" t="s">
        <v>125</v>
      </c>
      <c r="H11"/>
      <c r="I11" s="22" t="s">
        <v>78</v>
      </c>
      <c r="J11" s="37">
        <v>211000</v>
      </c>
      <c r="K11"/>
      <c r="L11"/>
      <c r="M11"/>
      <c r="N11"/>
      <c r="O11"/>
      <c r="P11"/>
    </row>
    <row r="12" spans="1:16" x14ac:dyDescent="0.3">
      <c r="H12"/>
      <c r="I12" s="22" t="s">
        <v>32</v>
      </c>
      <c r="J12" s="37">
        <v>1598000</v>
      </c>
      <c r="K12"/>
      <c r="L12"/>
      <c r="M12"/>
      <c r="N12"/>
      <c r="O12"/>
    </row>
    <row r="13" spans="1:16" x14ac:dyDescent="0.3">
      <c r="H13"/>
      <c r="I13"/>
      <c r="J13"/>
      <c r="K13"/>
      <c r="L13"/>
      <c r="M13"/>
      <c r="N13"/>
      <c r="O13"/>
    </row>
    <row r="14" spans="1:16" x14ac:dyDescent="0.3">
      <c r="A14" s="19" t="s">
        <v>21</v>
      </c>
      <c r="B14" s="4" t="s">
        <v>126</v>
      </c>
      <c r="H14"/>
      <c r="I14"/>
      <c r="J14"/>
      <c r="K14"/>
      <c r="L14"/>
      <c r="M14"/>
      <c r="N14"/>
      <c r="O14"/>
    </row>
    <row r="15" spans="1:16" x14ac:dyDescent="0.3">
      <c r="H15"/>
      <c r="I15"/>
      <c r="J15"/>
      <c r="K15"/>
      <c r="L15"/>
      <c r="M15"/>
      <c r="N15"/>
      <c r="O15"/>
    </row>
    <row r="16" spans="1:16" x14ac:dyDescent="0.3">
      <c r="H16"/>
      <c r="I16"/>
      <c r="J16"/>
      <c r="K16"/>
      <c r="L16"/>
      <c r="M16"/>
      <c r="N16"/>
      <c r="O16"/>
    </row>
    <row r="17" spans="1:15" x14ac:dyDescent="0.3">
      <c r="A17" s="19" t="s">
        <v>22</v>
      </c>
      <c r="B17" s="4" t="s">
        <v>123</v>
      </c>
      <c r="H17"/>
      <c r="I17"/>
      <c r="J17"/>
      <c r="K17"/>
      <c r="L17"/>
      <c r="M17"/>
      <c r="N17"/>
      <c r="O17"/>
    </row>
    <row r="18" spans="1:15" x14ac:dyDescent="0.3">
      <c r="G18"/>
      <c r="H18"/>
      <c r="I18"/>
      <c r="J18"/>
      <c r="K18"/>
      <c r="L18"/>
      <c r="M18"/>
      <c r="N18"/>
      <c r="O18"/>
    </row>
    <row r="19" spans="1:15" x14ac:dyDescent="0.3">
      <c r="B19" s="33"/>
      <c r="G19"/>
      <c r="H19"/>
      <c r="I19"/>
      <c r="J19"/>
      <c r="K19"/>
      <c r="L19"/>
      <c r="M19"/>
      <c r="N19"/>
      <c r="O19"/>
    </row>
    <row r="20" spans="1:15" x14ac:dyDescent="0.3">
      <c r="C20" s="18"/>
      <c r="G20"/>
      <c r="H20"/>
      <c r="I20"/>
      <c r="J20"/>
      <c r="K20"/>
      <c r="L20"/>
      <c r="M20"/>
      <c r="N20"/>
      <c r="O20"/>
    </row>
    <row r="21" spans="1:15" x14ac:dyDescent="0.3">
      <c r="B21" s="33" t="s">
        <v>169</v>
      </c>
      <c r="C21" s="29"/>
      <c r="E21" s="30"/>
      <c r="G21"/>
      <c r="I21"/>
      <c r="J21"/>
      <c r="K21" s="23"/>
      <c r="L21"/>
      <c r="M21"/>
    </row>
    <row r="22" spans="1:15" x14ac:dyDescent="0.3">
      <c r="E22" s="30"/>
      <c r="G22"/>
      <c r="I22"/>
      <c r="J22"/>
      <c r="K22" s="23"/>
      <c r="L22"/>
      <c r="M22"/>
    </row>
    <row r="23" spans="1:15" x14ac:dyDescent="0.3">
      <c r="E23" s="30"/>
      <c r="G23"/>
      <c r="I23"/>
      <c r="J23"/>
      <c r="K23"/>
      <c r="L23"/>
      <c r="M23"/>
    </row>
    <row r="24" spans="1:15" x14ac:dyDescent="0.3">
      <c r="E24" s="30"/>
      <c r="I24"/>
      <c r="J24"/>
      <c r="K24"/>
      <c r="L24"/>
      <c r="M24"/>
    </row>
    <row r="25" spans="1:15" x14ac:dyDescent="0.3">
      <c r="E25" s="30"/>
      <c r="I25"/>
      <c r="J25"/>
      <c r="K25"/>
      <c r="L25"/>
      <c r="M25"/>
    </row>
    <row r="26" spans="1:15" x14ac:dyDescent="0.3">
      <c r="E26" s="30"/>
      <c r="G26"/>
      <c r="I26"/>
      <c r="J26"/>
      <c r="K26"/>
      <c r="L26"/>
      <c r="M26"/>
    </row>
    <row r="27" spans="1:15" x14ac:dyDescent="0.3">
      <c r="E27" s="30"/>
      <c r="I27"/>
      <c r="J27"/>
      <c r="K27"/>
      <c r="L27"/>
      <c r="M27"/>
    </row>
    <row r="28" spans="1:15" x14ac:dyDescent="0.3">
      <c r="E28" s="30"/>
      <c r="I28"/>
      <c r="J28"/>
      <c r="K28"/>
      <c r="L28"/>
      <c r="M28"/>
    </row>
    <row r="29" spans="1:15" x14ac:dyDescent="0.3">
      <c r="E29" s="30"/>
      <c r="I29"/>
      <c r="J29"/>
      <c r="K29"/>
      <c r="L29"/>
      <c r="M29"/>
    </row>
    <row r="30" spans="1:15" x14ac:dyDescent="0.3">
      <c r="E30" s="30"/>
      <c r="I30"/>
      <c r="J30"/>
      <c r="K30"/>
      <c r="L30"/>
      <c r="M30"/>
    </row>
    <row r="31" spans="1:15" x14ac:dyDescent="0.3">
      <c r="E31" s="30"/>
      <c r="I31"/>
      <c r="J31"/>
      <c r="K31"/>
      <c r="L31"/>
      <c r="M31"/>
    </row>
    <row r="32" spans="1:15" x14ac:dyDescent="0.3">
      <c r="E32" s="30"/>
      <c r="I32"/>
      <c r="J32"/>
      <c r="K32"/>
      <c r="L32"/>
      <c r="M32"/>
    </row>
    <row r="33" spans="5:13" x14ac:dyDescent="0.3">
      <c r="I33"/>
      <c r="J33"/>
      <c r="K33"/>
      <c r="L33"/>
      <c r="M33"/>
    </row>
    <row r="34" spans="5:13" x14ac:dyDescent="0.3">
      <c r="I34"/>
      <c r="J34"/>
      <c r="K34"/>
      <c r="L34"/>
      <c r="M34"/>
    </row>
    <row r="35" spans="5:13" x14ac:dyDescent="0.3">
      <c r="E35" s="30"/>
      <c r="I35"/>
      <c r="J35"/>
      <c r="K35"/>
      <c r="L35"/>
      <c r="M35"/>
    </row>
    <row r="36" spans="5:13" x14ac:dyDescent="0.3">
      <c r="E36" s="30"/>
      <c r="I36"/>
      <c r="J36"/>
      <c r="K36"/>
      <c r="L36"/>
      <c r="M36"/>
    </row>
    <row r="37" spans="5:13" x14ac:dyDescent="0.3">
      <c r="E37" s="30"/>
      <c r="I37"/>
      <c r="J37"/>
    </row>
    <row r="38" spans="5:13" x14ac:dyDescent="0.3">
      <c r="I38"/>
      <c r="J38"/>
    </row>
    <row r="39" spans="5:13" x14ac:dyDescent="0.3">
      <c r="I39"/>
      <c r="J39"/>
    </row>
    <row r="40" spans="5:13" x14ac:dyDescent="0.3">
      <c r="I40"/>
      <c r="J40"/>
    </row>
    <row r="41" spans="5:13" x14ac:dyDescent="0.3">
      <c r="I41"/>
      <c r="J41"/>
    </row>
    <row r="42" spans="5:13" x14ac:dyDescent="0.3">
      <c r="I42"/>
      <c r="J42"/>
    </row>
    <row r="43" spans="5:13" x14ac:dyDescent="0.3">
      <c r="I43"/>
      <c r="J43"/>
    </row>
    <row r="44" spans="5:13" x14ac:dyDescent="0.3">
      <c r="I44"/>
      <c r="J44"/>
    </row>
    <row r="45" spans="5:13" x14ac:dyDescent="0.3">
      <c r="G45"/>
      <c r="I45"/>
      <c r="J45"/>
    </row>
    <row r="46" spans="5:13" x14ac:dyDescent="0.3">
      <c r="G46"/>
      <c r="I46"/>
      <c r="J46"/>
    </row>
    <row r="47" spans="5:13" x14ac:dyDescent="0.3">
      <c r="G47"/>
      <c r="I47"/>
      <c r="J47"/>
    </row>
    <row r="48" spans="5:13" x14ac:dyDescent="0.3">
      <c r="G48"/>
      <c r="I48"/>
      <c r="J48"/>
    </row>
    <row r="49" spans="7:10" x14ac:dyDescent="0.3">
      <c r="G49"/>
      <c r="I49"/>
      <c r="J49"/>
    </row>
    <row r="50" spans="7:10" x14ac:dyDescent="0.3">
      <c r="G50"/>
      <c r="I50"/>
      <c r="J50"/>
    </row>
    <row r="51" spans="7:10" x14ac:dyDescent="0.3">
      <c r="G51"/>
      <c r="I51"/>
      <c r="J51"/>
    </row>
    <row r="52" spans="7:10" x14ac:dyDescent="0.3">
      <c r="G52"/>
      <c r="I52"/>
      <c r="J52"/>
    </row>
    <row r="53" spans="7:10" x14ac:dyDescent="0.3">
      <c r="G53"/>
      <c r="I53"/>
      <c r="J53"/>
    </row>
    <row r="54" spans="7:10" x14ac:dyDescent="0.3">
      <c r="G54"/>
      <c r="I54"/>
      <c r="J54"/>
    </row>
    <row r="55" spans="7:10" x14ac:dyDescent="0.3">
      <c r="G55"/>
      <c r="I55"/>
      <c r="J55"/>
    </row>
    <row r="56" spans="7:10" x14ac:dyDescent="0.3">
      <c r="G56"/>
      <c r="H56"/>
      <c r="I56"/>
      <c r="J56"/>
    </row>
    <row r="57" spans="7:10" x14ac:dyDescent="0.3">
      <c r="G57"/>
      <c r="H57"/>
      <c r="I57"/>
      <c r="J57"/>
    </row>
    <row r="58" spans="7:10" x14ac:dyDescent="0.3">
      <c r="G58"/>
      <c r="H58"/>
      <c r="I58"/>
      <c r="J58"/>
    </row>
    <row r="59" spans="7:10" x14ac:dyDescent="0.3">
      <c r="G59"/>
      <c r="H59"/>
      <c r="I59"/>
      <c r="J59"/>
    </row>
    <row r="60" spans="7:10" x14ac:dyDescent="0.3">
      <c r="G60"/>
      <c r="H60"/>
      <c r="I60"/>
      <c r="J60"/>
    </row>
    <row r="61" spans="7:10" x14ac:dyDescent="0.3">
      <c r="G61"/>
      <c r="H61"/>
      <c r="I61"/>
      <c r="J61"/>
    </row>
    <row r="62" spans="7:10" x14ac:dyDescent="0.3">
      <c r="G62"/>
      <c r="H62"/>
      <c r="I62"/>
      <c r="J62"/>
    </row>
    <row r="63" spans="7:10" x14ac:dyDescent="0.3">
      <c r="G63"/>
      <c r="H63"/>
      <c r="I63"/>
      <c r="J63"/>
    </row>
    <row r="64" spans="7:10" x14ac:dyDescent="0.3">
      <c r="G64"/>
      <c r="H64"/>
      <c r="I64"/>
      <c r="J64"/>
    </row>
    <row r="65" spans="7:10" x14ac:dyDescent="0.3">
      <c r="G65"/>
      <c r="H65"/>
      <c r="I65"/>
      <c r="J65"/>
    </row>
    <row r="66" spans="7:10" x14ac:dyDescent="0.3">
      <c r="G66"/>
      <c r="H66"/>
      <c r="I66"/>
      <c r="J66"/>
    </row>
    <row r="67" spans="7:10" x14ac:dyDescent="0.3">
      <c r="G67"/>
      <c r="H67"/>
      <c r="I67"/>
      <c r="J67"/>
    </row>
    <row r="68" spans="7:10" x14ac:dyDescent="0.3">
      <c r="G68"/>
      <c r="H68"/>
      <c r="I68"/>
      <c r="J68"/>
    </row>
    <row r="69" spans="7:10" x14ac:dyDescent="0.3">
      <c r="G69"/>
      <c r="H69"/>
    </row>
    <row r="70" spans="7:10" x14ac:dyDescent="0.3">
      <c r="G70"/>
      <c r="H70"/>
    </row>
    <row r="71" spans="7:10" x14ac:dyDescent="0.3">
      <c r="G71"/>
      <c r="H71"/>
    </row>
    <row r="72" spans="7:10" x14ac:dyDescent="0.3">
      <c r="G72"/>
      <c r="H72"/>
    </row>
    <row r="73" spans="7:10" x14ac:dyDescent="0.3">
      <c r="G73"/>
      <c r="H73"/>
    </row>
    <row r="74" spans="7:10" x14ac:dyDescent="0.3">
      <c r="G74"/>
      <c r="H74"/>
    </row>
    <row r="75" spans="7:10" x14ac:dyDescent="0.3">
      <c r="G75"/>
      <c r="H75"/>
    </row>
    <row r="76" spans="7:10" x14ac:dyDescent="0.3">
      <c r="G76"/>
      <c r="H76"/>
    </row>
    <row r="77" spans="7:10" x14ac:dyDescent="0.3">
      <c r="G77"/>
      <c r="H77"/>
    </row>
    <row r="78" spans="7:10" x14ac:dyDescent="0.3">
      <c r="G78"/>
      <c r="H78"/>
    </row>
    <row r="79" spans="7:10" x14ac:dyDescent="0.3">
      <c r="G79"/>
      <c r="H79"/>
    </row>
    <row r="80" spans="7:10" x14ac:dyDescent="0.3">
      <c r="G80"/>
      <c r="H80"/>
    </row>
    <row r="81" spans="7:8" x14ac:dyDescent="0.3">
      <c r="G81"/>
      <c r="H81"/>
    </row>
    <row r="82" spans="7:8" x14ac:dyDescent="0.3">
      <c r="G82"/>
      <c r="H82"/>
    </row>
    <row r="83" spans="7:8" x14ac:dyDescent="0.3">
      <c r="G83"/>
      <c r="H83"/>
    </row>
    <row r="84" spans="7:8" x14ac:dyDescent="0.3">
      <c r="G84"/>
      <c r="H84"/>
    </row>
    <row r="85" spans="7:8" x14ac:dyDescent="0.3">
      <c r="G85"/>
      <c r="H85"/>
    </row>
    <row r="86" spans="7:8" x14ac:dyDescent="0.3">
      <c r="G86"/>
      <c r="H86"/>
    </row>
    <row r="87" spans="7:8" x14ac:dyDescent="0.3">
      <c r="G87"/>
      <c r="H87"/>
    </row>
    <row r="88" spans="7:8" x14ac:dyDescent="0.3">
      <c r="G88"/>
      <c r="H88"/>
    </row>
    <row r="89" spans="7:8" x14ac:dyDescent="0.3">
      <c r="G89"/>
      <c r="H89"/>
    </row>
    <row r="90" spans="7:8" x14ac:dyDescent="0.3">
      <c r="G90"/>
      <c r="H90"/>
    </row>
    <row r="91" spans="7:8" x14ac:dyDescent="0.3">
      <c r="G91"/>
      <c r="H91"/>
    </row>
  </sheetData>
  <mergeCells count="2">
    <mergeCell ref="A1:I2"/>
    <mergeCell ref="G3:G5"/>
  </mergeCell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showGridLines="0" zoomScale="150" zoomScaleNormal="150" workbookViewId="0">
      <selection activeCell="A5" sqref="A5"/>
    </sheetView>
  </sheetViews>
  <sheetFormatPr defaultColWidth="9.09765625" defaultRowHeight="14.4" x14ac:dyDescent="0.3"/>
  <cols>
    <col min="1" max="1" width="5.3984375" style="41" customWidth="1"/>
    <col min="2" max="5" width="13.69921875" style="41" customWidth="1"/>
    <col min="6" max="6" width="8" style="41" customWidth="1"/>
    <col min="7" max="16384" width="9.09765625" style="41"/>
  </cols>
  <sheetData>
    <row r="1" spans="1:6" ht="18.7" customHeight="1" x14ac:dyDescent="0.3">
      <c r="A1" s="38"/>
      <c r="B1" s="39"/>
      <c r="C1" s="39"/>
      <c r="D1" s="39"/>
      <c r="E1" s="39"/>
      <c r="F1" s="40"/>
    </row>
    <row r="2" spans="1:6" ht="18.7" customHeight="1" x14ac:dyDescent="0.3">
      <c r="A2" s="42"/>
      <c r="B2" s="43"/>
      <c r="C2" s="43"/>
      <c r="D2" s="43"/>
      <c r="E2" s="43"/>
      <c r="F2" s="44"/>
    </row>
    <row r="3" spans="1:6" ht="18.7" customHeight="1" x14ac:dyDescent="0.3">
      <c r="A3" s="42"/>
      <c r="B3" s="43"/>
      <c r="C3" s="43"/>
      <c r="D3" s="43"/>
      <c r="E3" s="43"/>
      <c r="F3" s="44"/>
    </row>
    <row r="4" spans="1:6" ht="18.7" customHeight="1" x14ac:dyDescent="0.3">
      <c r="A4" s="42"/>
      <c r="B4" s="43"/>
      <c r="C4" s="43"/>
      <c r="D4" s="43"/>
      <c r="E4" s="43"/>
      <c r="F4" s="44"/>
    </row>
    <row r="5" spans="1:6" x14ac:dyDescent="0.3">
      <c r="A5" s="45"/>
      <c r="B5" s="46"/>
      <c r="C5" s="46"/>
      <c r="D5" s="46"/>
      <c r="E5" s="46"/>
      <c r="F5" s="47"/>
    </row>
    <row r="6" spans="1:6" x14ac:dyDescent="0.3">
      <c r="A6" s="45"/>
      <c r="B6" s="48" t="s">
        <v>150</v>
      </c>
      <c r="C6" s="46"/>
      <c r="D6" s="46"/>
      <c r="E6" s="46"/>
      <c r="F6" s="47"/>
    </row>
    <row r="7" spans="1:6" x14ac:dyDescent="0.3">
      <c r="A7" s="45"/>
      <c r="B7" s="46"/>
      <c r="C7" s="46"/>
      <c r="D7" s="46"/>
      <c r="E7" s="46"/>
      <c r="F7" s="47"/>
    </row>
    <row r="8" spans="1:6" x14ac:dyDescent="0.3">
      <c r="A8" s="45"/>
      <c r="B8" s="46" t="s">
        <v>146</v>
      </c>
      <c r="C8" s="46"/>
      <c r="D8" s="46"/>
      <c r="E8" s="46"/>
      <c r="F8" s="47"/>
    </row>
    <row r="9" spans="1:6" x14ac:dyDescent="0.3">
      <c r="A9" s="45"/>
      <c r="B9" s="46" t="s">
        <v>147</v>
      </c>
      <c r="C9" s="46"/>
      <c r="D9" s="46"/>
      <c r="E9" s="46"/>
      <c r="F9" s="47"/>
    </row>
    <row r="10" spans="1:6" x14ac:dyDescent="0.3">
      <c r="A10" s="45"/>
      <c r="B10" s="46"/>
      <c r="C10" s="46"/>
      <c r="D10" s="46"/>
      <c r="E10" s="46"/>
      <c r="F10" s="47"/>
    </row>
    <row r="11" spans="1:6" x14ac:dyDescent="0.3">
      <c r="A11" s="45"/>
      <c r="B11" s="46" t="s">
        <v>151</v>
      </c>
      <c r="C11" s="46"/>
      <c r="D11" s="46"/>
      <c r="E11" s="46"/>
      <c r="F11" s="47"/>
    </row>
    <row r="12" spans="1:6" x14ac:dyDescent="0.3">
      <c r="A12" s="45"/>
      <c r="B12" s="46" t="s">
        <v>148</v>
      </c>
      <c r="C12" s="46"/>
      <c r="D12" s="46"/>
      <c r="E12" s="46"/>
      <c r="F12" s="47"/>
    </row>
    <row r="13" spans="1:6" x14ac:dyDescent="0.3">
      <c r="A13" s="45"/>
      <c r="B13" s="46"/>
      <c r="C13" s="46"/>
      <c r="D13" s="46"/>
      <c r="E13" s="46"/>
      <c r="F13" s="47"/>
    </row>
    <row r="14" spans="1:6" x14ac:dyDescent="0.3">
      <c r="A14" s="45"/>
      <c r="B14" s="46" t="s">
        <v>152</v>
      </c>
      <c r="C14" s="46"/>
      <c r="D14" s="46"/>
      <c r="E14" s="46"/>
      <c r="F14" s="47"/>
    </row>
    <row r="15" spans="1:6" x14ac:dyDescent="0.3">
      <c r="A15" s="45"/>
      <c r="B15" s="46" t="s">
        <v>155</v>
      </c>
      <c r="C15" s="46"/>
      <c r="D15" s="46"/>
      <c r="E15" s="46"/>
      <c r="F15" s="47"/>
    </row>
    <row r="16" spans="1:6" x14ac:dyDescent="0.3">
      <c r="A16" s="45"/>
      <c r="B16" s="46"/>
      <c r="C16" s="46"/>
      <c r="D16" s="46"/>
      <c r="E16" s="46"/>
      <c r="F16" s="47"/>
    </row>
    <row r="17" spans="1:6" x14ac:dyDescent="0.3">
      <c r="A17" s="45"/>
      <c r="B17" s="46" t="s">
        <v>153</v>
      </c>
      <c r="C17" s="46"/>
      <c r="D17" s="46"/>
      <c r="E17" s="46"/>
      <c r="F17" s="47"/>
    </row>
    <row r="18" spans="1:6" x14ac:dyDescent="0.3">
      <c r="A18" s="45"/>
      <c r="B18" s="49" t="s">
        <v>154</v>
      </c>
      <c r="C18" s="46"/>
      <c r="D18" s="46"/>
      <c r="E18" s="46"/>
      <c r="F18" s="47"/>
    </row>
    <row r="19" spans="1:6" x14ac:dyDescent="0.3">
      <c r="A19" s="45"/>
      <c r="B19" s="46"/>
      <c r="C19" s="46"/>
      <c r="D19" s="46"/>
      <c r="E19" s="46"/>
      <c r="F19" s="47"/>
    </row>
    <row r="20" spans="1:6" x14ac:dyDescent="0.3">
      <c r="A20" s="45"/>
      <c r="B20" s="46" t="s">
        <v>149</v>
      </c>
      <c r="C20" s="46"/>
      <c r="D20" s="46"/>
      <c r="E20" s="46"/>
      <c r="F20" s="47"/>
    </row>
    <row r="21" spans="1:6" x14ac:dyDescent="0.3">
      <c r="A21" s="45"/>
      <c r="B21" s="46"/>
      <c r="C21" s="46"/>
      <c r="D21" s="46"/>
      <c r="E21" s="46"/>
      <c r="F21" s="47"/>
    </row>
    <row r="22" spans="1:6" x14ac:dyDescent="0.3">
      <c r="A22" s="45"/>
      <c r="B22" s="46" t="s">
        <v>0</v>
      </c>
      <c r="C22" s="46"/>
      <c r="D22" s="46"/>
      <c r="E22" s="46"/>
      <c r="F22" s="47"/>
    </row>
    <row r="23" spans="1:6" x14ac:dyDescent="0.3">
      <c r="A23" s="45"/>
      <c r="B23" s="46" t="s">
        <v>1</v>
      </c>
      <c r="C23" s="46"/>
      <c r="D23" s="46"/>
      <c r="E23" s="46"/>
      <c r="F23" s="47"/>
    </row>
    <row r="24" spans="1:6" x14ac:dyDescent="0.3">
      <c r="A24" s="45"/>
      <c r="B24" s="46" t="s">
        <v>2</v>
      </c>
      <c r="C24" s="49" t="s">
        <v>3</v>
      </c>
      <c r="D24" s="46"/>
      <c r="E24" s="46"/>
      <c r="F24" s="47"/>
    </row>
    <row r="25" spans="1:6" ht="14.95" thickBot="1" x14ac:dyDescent="0.35">
      <c r="A25" s="50"/>
      <c r="B25" s="51"/>
      <c r="C25" s="51"/>
      <c r="D25" s="51"/>
      <c r="E25" s="51"/>
      <c r="F25" s="52"/>
    </row>
  </sheetData>
  <hyperlinks>
    <hyperlink ref="B18" r:id="rId1"/>
    <hyperlink ref="C24" r:id="rId2"/>
  </hyperlinks>
  <pageMargins left="0.7" right="0.7" top="0.75" bottom="0.75" header="0.3" footer="0.3"/>
  <pageSetup paperSize="9" orientation="portrait" r:id="rId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
  <sheetViews>
    <sheetView workbookViewId="0">
      <selection activeCell="A3" sqref="A3"/>
    </sheetView>
  </sheetViews>
  <sheetFormatPr defaultRowHeight="14.4" x14ac:dyDescent="0.3"/>
  <sheetData>
    <row r="1" spans="1:2" x14ac:dyDescent="0.3">
      <c r="A1">
        <v>1</v>
      </c>
      <c r="B1">
        <v>2</v>
      </c>
    </row>
    <row r="2" spans="1:2" x14ac:dyDescent="0.3">
      <c r="A2" t="s">
        <v>29</v>
      </c>
      <c r="B2" t="s">
        <v>29</v>
      </c>
    </row>
    <row r="3" spans="1:2" x14ac:dyDescent="0.3">
      <c r="A3" t="s">
        <v>28</v>
      </c>
      <c r="B3"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3"/>
  <sheetViews>
    <sheetView workbookViewId="0">
      <selection activeCell="A3" sqref="A3"/>
    </sheetView>
  </sheetViews>
  <sheetFormatPr defaultRowHeight="14.4" x14ac:dyDescent="0.3"/>
  <cols>
    <col min="3" max="3" width="16.3984375" bestFit="1" customWidth="1"/>
  </cols>
  <sheetData>
    <row r="1" spans="1:6" x14ac:dyDescent="0.3">
      <c r="A1" s="24" t="s">
        <v>33</v>
      </c>
      <c r="B1" s="25" t="s">
        <v>34</v>
      </c>
      <c r="C1" s="25" t="s">
        <v>102</v>
      </c>
      <c r="D1" s="26" t="s">
        <v>35</v>
      </c>
    </row>
    <row r="2" spans="1:6" x14ac:dyDescent="0.3">
      <c r="A2" s="27" t="s">
        <v>36</v>
      </c>
      <c r="B2" t="s">
        <v>37</v>
      </c>
      <c r="C2" t="s">
        <v>60</v>
      </c>
      <c r="D2" s="28">
        <v>45000</v>
      </c>
    </row>
    <row r="3" spans="1:6" x14ac:dyDescent="0.3">
      <c r="A3" s="27" t="s">
        <v>38</v>
      </c>
      <c r="B3" t="s">
        <v>37</v>
      </c>
      <c r="C3" t="s">
        <v>60</v>
      </c>
      <c r="D3" s="28">
        <v>59000</v>
      </c>
    </row>
    <row r="4" spans="1:6" x14ac:dyDescent="0.3">
      <c r="A4" s="27" t="s">
        <v>39</v>
      </c>
      <c r="B4" t="s">
        <v>37</v>
      </c>
      <c r="C4" t="s">
        <v>60</v>
      </c>
      <c r="D4" s="28">
        <v>54000</v>
      </c>
    </row>
    <row r="5" spans="1:6" x14ac:dyDescent="0.3">
      <c r="A5" s="27" t="s">
        <v>40</v>
      </c>
      <c r="B5" t="s">
        <v>41</v>
      </c>
      <c r="C5" t="s">
        <v>69</v>
      </c>
      <c r="D5" s="28">
        <v>44000</v>
      </c>
    </row>
    <row r="6" spans="1:6" x14ac:dyDescent="0.3">
      <c r="A6" s="27" t="s">
        <v>42</v>
      </c>
      <c r="B6" t="s">
        <v>43</v>
      </c>
      <c r="C6" t="s">
        <v>60</v>
      </c>
      <c r="D6" s="28">
        <v>45000</v>
      </c>
    </row>
    <row r="7" spans="1:6" x14ac:dyDescent="0.3">
      <c r="A7" s="27" t="s">
        <v>44</v>
      </c>
      <c r="B7" t="s">
        <v>41</v>
      </c>
      <c r="C7" t="s">
        <v>69</v>
      </c>
      <c r="D7" s="28">
        <v>47000</v>
      </c>
      <c r="F7" s="31"/>
    </row>
    <row r="8" spans="1:6" x14ac:dyDescent="0.3">
      <c r="A8" s="27" t="s">
        <v>45</v>
      </c>
      <c r="B8" t="s">
        <v>46</v>
      </c>
      <c r="C8" t="s">
        <v>69</v>
      </c>
      <c r="D8" s="28">
        <v>40000</v>
      </c>
    </row>
    <row r="9" spans="1:6" x14ac:dyDescent="0.3">
      <c r="A9" s="27" t="s">
        <v>47</v>
      </c>
      <c r="B9" t="s">
        <v>48</v>
      </c>
      <c r="C9" t="s">
        <v>60</v>
      </c>
      <c r="D9" s="28">
        <v>59000</v>
      </c>
    </row>
    <row r="10" spans="1:6" x14ac:dyDescent="0.3">
      <c r="A10" s="27" t="s">
        <v>49</v>
      </c>
      <c r="B10" t="s">
        <v>46</v>
      </c>
      <c r="C10" t="s">
        <v>69</v>
      </c>
      <c r="D10" s="28">
        <v>57000</v>
      </c>
    </row>
    <row r="11" spans="1:6" x14ac:dyDescent="0.3">
      <c r="A11" s="27" t="s">
        <v>50</v>
      </c>
      <c r="B11" t="s">
        <v>41</v>
      </c>
      <c r="C11" t="s">
        <v>69</v>
      </c>
      <c r="D11" s="28">
        <v>42000</v>
      </c>
    </row>
    <row r="12" spans="1:6" x14ac:dyDescent="0.3">
      <c r="A12" s="27" t="s">
        <v>51</v>
      </c>
      <c r="B12" t="s">
        <v>37</v>
      </c>
      <c r="C12" t="s">
        <v>60</v>
      </c>
      <c r="D12" s="28">
        <v>62000</v>
      </c>
    </row>
    <row r="13" spans="1:6" x14ac:dyDescent="0.3">
      <c r="A13" s="27" t="s">
        <v>58</v>
      </c>
      <c r="B13" t="s">
        <v>41</v>
      </c>
      <c r="C13" t="s">
        <v>69</v>
      </c>
      <c r="D13" s="28">
        <v>63000</v>
      </c>
    </row>
    <row r="14" spans="1:6" x14ac:dyDescent="0.3">
      <c r="A14" s="27" t="s">
        <v>59</v>
      </c>
      <c r="B14" t="s">
        <v>46</v>
      </c>
      <c r="C14" t="s">
        <v>69</v>
      </c>
      <c r="D14" s="28">
        <v>61000</v>
      </c>
    </row>
    <row r="15" spans="1:6" x14ac:dyDescent="0.3">
      <c r="A15" s="27" t="s">
        <v>62</v>
      </c>
      <c r="B15" t="s">
        <v>61</v>
      </c>
      <c r="C15" t="s">
        <v>69</v>
      </c>
      <c r="D15" s="28">
        <v>41000</v>
      </c>
    </row>
    <row r="16" spans="1:6" x14ac:dyDescent="0.3">
      <c r="A16" s="27" t="s">
        <v>63</v>
      </c>
      <c r="B16" t="s">
        <v>46</v>
      </c>
      <c r="C16" t="s">
        <v>69</v>
      </c>
      <c r="D16" s="28">
        <v>45000</v>
      </c>
    </row>
    <row r="17" spans="1:4" x14ac:dyDescent="0.3">
      <c r="A17" s="27" t="s">
        <v>64</v>
      </c>
      <c r="B17" t="s">
        <v>41</v>
      </c>
      <c r="C17" t="s">
        <v>69</v>
      </c>
      <c r="D17" s="28">
        <v>59000</v>
      </c>
    </row>
    <row r="18" spans="1:4" x14ac:dyDescent="0.3">
      <c r="A18" s="27" t="s">
        <v>65</v>
      </c>
      <c r="B18" t="s">
        <v>37</v>
      </c>
      <c r="C18" t="s">
        <v>60</v>
      </c>
      <c r="D18" s="28">
        <v>56000</v>
      </c>
    </row>
    <row r="19" spans="1:4" x14ac:dyDescent="0.3">
      <c r="A19" s="27" t="s">
        <v>66</v>
      </c>
      <c r="B19" t="s">
        <v>37</v>
      </c>
      <c r="C19" t="s">
        <v>60</v>
      </c>
      <c r="D19" s="28">
        <v>53000</v>
      </c>
    </row>
    <row r="20" spans="1:4" x14ac:dyDescent="0.3">
      <c r="A20" s="27" t="s">
        <v>67</v>
      </c>
      <c r="B20" t="s">
        <v>48</v>
      </c>
      <c r="C20" t="s">
        <v>60</v>
      </c>
      <c r="D20" s="28">
        <v>47000</v>
      </c>
    </row>
    <row r="21" spans="1:4" x14ac:dyDescent="0.3">
      <c r="A21" s="27" t="s">
        <v>68</v>
      </c>
      <c r="B21" t="s">
        <v>61</v>
      </c>
      <c r="C21" t="s">
        <v>69</v>
      </c>
      <c r="D21" s="28">
        <v>57000</v>
      </c>
    </row>
    <row r="22" spans="1:4" x14ac:dyDescent="0.3">
      <c r="A22" s="27" t="s">
        <v>70</v>
      </c>
      <c r="B22" t="s">
        <v>37</v>
      </c>
      <c r="C22" t="s">
        <v>60</v>
      </c>
      <c r="D22" s="28">
        <v>42000</v>
      </c>
    </row>
    <row r="23" spans="1:4" x14ac:dyDescent="0.3">
      <c r="A23" s="27" t="s">
        <v>71</v>
      </c>
      <c r="B23" t="s">
        <v>61</v>
      </c>
      <c r="C23" t="s">
        <v>69</v>
      </c>
      <c r="D23" s="28">
        <v>52000</v>
      </c>
    </row>
    <row r="24" spans="1:4" x14ac:dyDescent="0.3">
      <c r="A24" s="27" t="s">
        <v>72</v>
      </c>
      <c r="B24" t="s">
        <v>37</v>
      </c>
      <c r="C24" t="s">
        <v>60</v>
      </c>
      <c r="D24" s="28">
        <v>58000</v>
      </c>
    </row>
    <row r="25" spans="1:4" x14ac:dyDescent="0.3">
      <c r="A25" s="27" t="s">
        <v>73</v>
      </c>
      <c r="B25" t="s">
        <v>43</v>
      </c>
      <c r="C25" t="s">
        <v>60</v>
      </c>
      <c r="D25" s="28">
        <v>41000</v>
      </c>
    </row>
    <row r="26" spans="1:4" x14ac:dyDescent="0.3">
      <c r="A26" s="27" t="s">
        <v>74</v>
      </c>
      <c r="B26" t="s">
        <v>43</v>
      </c>
      <c r="C26" t="s">
        <v>60</v>
      </c>
      <c r="D26" s="28">
        <v>56000</v>
      </c>
    </row>
    <row r="27" spans="1:4" x14ac:dyDescent="0.3">
      <c r="A27" s="27" t="s">
        <v>75</v>
      </c>
      <c r="B27" t="s">
        <v>37</v>
      </c>
      <c r="C27" t="s">
        <v>60</v>
      </c>
      <c r="D27" s="28">
        <v>57000</v>
      </c>
    </row>
    <row r="28" spans="1:4" x14ac:dyDescent="0.3">
      <c r="A28" s="27" t="s">
        <v>76</v>
      </c>
      <c r="B28" t="s">
        <v>61</v>
      </c>
      <c r="C28" t="s">
        <v>69</v>
      </c>
      <c r="D28" s="28">
        <v>63000</v>
      </c>
    </row>
    <row r="29" spans="1:4" x14ac:dyDescent="0.3">
      <c r="A29" s="27" t="s">
        <v>77</v>
      </c>
      <c r="B29" t="s">
        <v>78</v>
      </c>
      <c r="C29" t="s">
        <v>69</v>
      </c>
      <c r="D29" s="28">
        <v>60000</v>
      </c>
    </row>
    <row r="30" spans="1:4" x14ac:dyDescent="0.3">
      <c r="A30" s="27" t="s">
        <v>79</v>
      </c>
      <c r="B30" t="s">
        <v>78</v>
      </c>
      <c r="C30" t="s">
        <v>69</v>
      </c>
      <c r="D30" s="28">
        <v>48000</v>
      </c>
    </row>
    <row r="31" spans="1:4" x14ac:dyDescent="0.3">
      <c r="A31" s="27" t="s">
        <v>80</v>
      </c>
      <c r="B31" t="s">
        <v>61</v>
      </c>
      <c r="C31" t="s">
        <v>69</v>
      </c>
      <c r="D31" s="28">
        <v>42000</v>
      </c>
    </row>
    <row r="32" spans="1:4" x14ac:dyDescent="0.3">
      <c r="A32" s="27" t="s">
        <v>81</v>
      </c>
      <c r="B32" t="s">
        <v>43</v>
      </c>
      <c r="C32" t="s">
        <v>60</v>
      </c>
      <c r="D32" s="28">
        <v>63000</v>
      </c>
    </row>
    <row r="33" spans="1:4" x14ac:dyDescent="0.3">
      <c r="A33" s="27" t="s">
        <v>82</v>
      </c>
      <c r="B33" t="s">
        <v>41</v>
      </c>
      <c r="C33" t="s">
        <v>69</v>
      </c>
      <c r="D33" s="28">
        <v>50000</v>
      </c>
    </row>
    <row r="34" spans="1:4" x14ac:dyDescent="0.3">
      <c r="A34" s="27" t="s">
        <v>83</v>
      </c>
      <c r="B34" t="s">
        <v>46</v>
      </c>
      <c r="C34" t="s">
        <v>69</v>
      </c>
      <c r="D34" s="28">
        <v>47000</v>
      </c>
    </row>
    <row r="35" spans="1:4" x14ac:dyDescent="0.3">
      <c r="A35" s="27" t="s">
        <v>84</v>
      </c>
      <c r="B35" t="s">
        <v>37</v>
      </c>
      <c r="C35" t="s">
        <v>60</v>
      </c>
      <c r="D35" s="28">
        <v>63000</v>
      </c>
    </row>
    <row r="36" spans="1:4" x14ac:dyDescent="0.3">
      <c r="A36" s="27" t="s">
        <v>85</v>
      </c>
      <c r="B36" t="s">
        <v>48</v>
      </c>
      <c r="C36" t="s">
        <v>60</v>
      </c>
      <c r="D36" s="28">
        <v>55000</v>
      </c>
    </row>
    <row r="37" spans="1:4" x14ac:dyDescent="0.3">
      <c r="A37" s="27" t="s">
        <v>86</v>
      </c>
      <c r="B37" t="s">
        <v>48</v>
      </c>
      <c r="C37" t="s">
        <v>60</v>
      </c>
      <c r="D37" s="28">
        <v>51000</v>
      </c>
    </row>
    <row r="38" spans="1:4" x14ac:dyDescent="0.3">
      <c r="A38" s="27" t="s">
        <v>87</v>
      </c>
      <c r="B38" t="s">
        <v>37</v>
      </c>
      <c r="C38" t="s">
        <v>60</v>
      </c>
      <c r="D38" s="28">
        <v>40000</v>
      </c>
    </row>
    <row r="39" spans="1:4" x14ac:dyDescent="0.3">
      <c r="A39" s="27" t="s">
        <v>88</v>
      </c>
      <c r="B39" t="s">
        <v>37</v>
      </c>
      <c r="C39" t="s">
        <v>60</v>
      </c>
      <c r="D39" s="28">
        <v>65000</v>
      </c>
    </row>
    <row r="40" spans="1:4" x14ac:dyDescent="0.3">
      <c r="A40" s="27" t="s">
        <v>89</v>
      </c>
      <c r="B40" t="s">
        <v>41</v>
      </c>
      <c r="C40" t="s">
        <v>69</v>
      </c>
      <c r="D40" s="28">
        <v>61000</v>
      </c>
    </row>
    <row r="41" spans="1:4" x14ac:dyDescent="0.3">
      <c r="A41" s="27" t="s">
        <v>73</v>
      </c>
      <c r="B41" t="s">
        <v>43</v>
      </c>
      <c r="C41" t="s">
        <v>60</v>
      </c>
      <c r="D41" s="28">
        <v>43000</v>
      </c>
    </row>
    <row r="42" spans="1:4" x14ac:dyDescent="0.3">
      <c r="A42" s="27" t="s">
        <v>90</v>
      </c>
      <c r="B42" t="s">
        <v>43</v>
      </c>
      <c r="C42" t="s">
        <v>60</v>
      </c>
      <c r="D42" s="28">
        <v>55000</v>
      </c>
    </row>
    <row r="43" spans="1:4" x14ac:dyDescent="0.3">
      <c r="A43" s="27" t="s">
        <v>91</v>
      </c>
      <c r="B43" t="s">
        <v>78</v>
      </c>
      <c r="C43" t="s">
        <v>69</v>
      </c>
      <c r="D43" s="28">
        <v>40000</v>
      </c>
    </row>
    <row r="44" spans="1:4" x14ac:dyDescent="0.3">
      <c r="A44" s="27" t="s">
        <v>92</v>
      </c>
      <c r="B44" t="s">
        <v>37</v>
      </c>
      <c r="C44" t="s">
        <v>60</v>
      </c>
      <c r="D44" s="28">
        <v>56000</v>
      </c>
    </row>
    <row r="45" spans="1:4" x14ac:dyDescent="0.3">
      <c r="A45" s="27" t="s">
        <v>93</v>
      </c>
      <c r="B45" t="s">
        <v>41</v>
      </c>
      <c r="C45" t="s">
        <v>69</v>
      </c>
      <c r="D45" s="28">
        <v>45000</v>
      </c>
    </row>
    <row r="46" spans="1:4" x14ac:dyDescent="0.3">
      <c r="A46" s="27" t="s">
        <v>94</v>
      </c>
      <c r="B46" t="s">
        <v>48</v>
      </c>
      <c r="C46" t="s">
        <v>60</v>
      </c>
      <c r="D46" s="28">
        <v>42000</v>
      </c>
    </row>
    <row r="47" spans="1:4" x14ac:dyDescent="0.3">
      <c r="A47" s="27" t="s">
        <v>95</v>
      </c>
      <c r="B47" t="s">
        <v>43</v>
      </c>
      <c r="C47" t="s">
        <v>60</v>
      </c>
      <c r="D47" s="28">
        <v>56000</v>
      </c>
    </row>
    <row r="48" spans="1:4" x14ac:dyDescent="0.3">
      <c r="A48" s="27" t="s">
        <v>96</v>
      </c>
      <c r="B48" t="s">
        <v>37</v>
      </c>
      <c r="C48" t="s">
        <v>60</v>
      </c>
      <c r="D48" s="28">
        <v>61000</v>
      </c>
    </row>
    <row r="49" spans="1:4" x14ac:dyDescent="0.3">
      <c r="A49" s="27" t="s">
        <v>97</v>
      </c>
      <c r="B49" t="s">
        <v>43</v>
      </c>
      <c r="C49" t="s">
        <v>60</v>
      </c>
      <c r="D49" s="28">
        <v>47000</v>
      </c>
    </row>
    <row r="50" spans="1:4" x14ac:dyDescent="0.3">
      <c r="A50" s="27" t="s">
        <v>98</v>
      </c>
      <c r="B50" t="s">
        <v>78</v>
      </c>
      <c r="C50" t="s">
        <v>69</v>
      </c>
      <c r="D50" s="28">
        <v>63000</v>
      </c>
    </row>
    <row r="51" spans="1:4" x14ac:dyDescent="0.3">
      <c r="A51" s="27" t="s">
        <v>99</v>
      </c>
      <c r="B51" t="s">
        <v>61</v>
      </c>
      <c r="C51" t="s">
        <v>69</v>
      </c>
      <c r="D51" s="28">
        <v>50000</v>
      </c>
    </row>
    <row r="52" spans="1:4" x14ac:dyDescent="0.3">
      <c r="A52" s="27" t="s">
        <v>100</v>
      </c>
      <c r="B52" t="s">
        <v>61</v>
      </c>
      <c r="C52" t="s">
        <v>69</v>
      </c>
      <c r="D52" s="28">
        <v>57000</v>
      </c>
    </row>
    <row r="53" spans="1:4" x14ac:dyDescent="0.3">
      <c r="A53" s="27" t="s">
        <v>101</v>
      </c>
      <c r="B53" t="s">
        <v>43</v>
      </c>
      <c r="C53" t="s">
        <v>60</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 here</vt:lpstr>
      <vt:lpstr>How to create a Pivot Table</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2021-12-01T03:05:03Z</dcterms:modified>
</cp:coreProperties>
</file>