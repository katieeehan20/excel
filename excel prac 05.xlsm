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Kate\OneDrive\Desktop\TTS\Excel\"/>
    </mc:Choice>
  </mc:AlternateContent>
  <bookViews>
    <workbookView xWindow="0" yWindow="0" windowWidth="21268" windowHeight="8474"/>
  </bookViews>
  <sheets>
    <sheet name="Sheet1" sheetId="1" r:id="rId1"/>
    <sheet name="Sheet2" sheetId="2" r:id="rId2"/>
    <sheet name="Sheet3" sheetId="3" r:id="rId3"/>
    <sheet name="Sheet5" sheetId="5" r:id="rId4"/>
    <sheet name="Sheet6" sheetId="6" r:id="rId5"/>
    <sheet name="Sheet7" sheetId="7" r:id="rId6"/>
    <sheet name="Sheet8" sheetId="8" r:id="rId7"/>
  </sheets>
  <functionGroups builtInGroupCount="18"/>
  <definedNames>
    <definedName name="rad">Sheet8!$L$12</definedName>
    <definedName name="weights">OFFSET(Sheet1!$B$4,0,0,COUNT(Sheet1!$B:$B),1)</definedName>
    <definedName name="x">OFFSET(Sheet1!$R$3,0,0,1,COUNT(Sheet1!$3:$3))</definedName>
  </definedNames>
  <calcPr calcId="152511"/>
  <fileRecoveryPr repairLoad="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4" i="8" l="1"/>
  <c r="N4" i="8"/>
  <c r="O4" i="8"/>
  <c r="P4" i="8"/>
  <c r="M5" i="8"/>
  <c r="N5" i="8"/>
  <c r="O5" i="8"/>
  <c r="P5" i="8"/>
  <c r="M6" i="8"/>
  <c r="N6" i="8"/>
  <c r="O6" i="8"/>
  <c r="P6" i="8"/>
  <c r="M7" i="8"/>
  <c r="N7" i="8"/>
  <c r="O7" i="8"/>
  <c r="P7" i="8"/>
  <c r="M8" i="8"/>
  <c r="N8" i="8"/>
  <c r="O8" i="8"/>
  <c r="P8" i="8"/>
  <c r="L5" i="8"/>
  <c r="L6" i="8"/>
  <c r="L7" i="8"/>
  <c r="L8" i="8"/>
  <c r="L4" i="8"/>
  <c r="E18" i="8"/>
  <c r="E19" i="8"/>
  <c r="E20" i="8"/>
  <c r="E21" i="8"/>
  <c r="E22" i="8"/>
  <c r="E23" i="8"/>
  <c r="E24" i="8"/>
  <c r="E25" i="8"/>
  <c r="E17" i="8"/>
  <c r="C19" i="8"/>
  <c r="C20" i="8"/>
  <c r="C21" i="8"/>
  <c r="C22" i="8"/>
  <c r="C23" i="8"/>
  <c r="C24" i="8"/>
  <c r="C25" i="8"/>
  <c r="C18" i="8"/>
  <c r="C17" i="8"/>
  <c r="C8" i="8" a="1"/>
  <c r="C8" i="8" s="1"/>
  <c r="J19" i="7"/>
  <c r="J18" i="7"/>
  <c r="G19" i="7"/>
  <c r="G18" i="7"/>
  <c r="G29" i="7"/>
  <c r="C20" i="7"/>
  <c r="C19" i="7"/>
  <c r="C18" i="7"/>
  <c r="R4" i="6"/>
  <c r="R10" i="6"/>
  <c r="R11" i="6"/>
  <c r="R6" i="6"/>
  <c r="R7" i="6"/>
  <c r="R8" i="6"/>
  <c r="R9" i="6"/>
  <c r="R5" i="6"/>
  <c r="P11" i="6"/>
  <c r="O11" i="6"/>
  <c r="P10" i="6"/>
  <c r="O10" i="6"/>
  <c r="P9" i="6"/>
  <c r="O9" i="6"/>
  <c r="P8" i="6"/>
  <c r="O8" i="6"/>
  <c r="P7" i="6"/>
  <c r="O7" i="6"/>
  <c r="P6" i="6"/>
  <c r="O6" i="6"/>
  <c r="P5" i="6"/>
  <c r="O5" i="6"/>
  <c r="P4" i="6"/>
  <c r="O4" i="6"/>
  <c r="H21" i="6"/>
  <c r="H20" i="6"/>
  <c r="H17" i="6"/>
  <c r="H12" i="6"/>
  <c r="H13" i="6"/>
  <c r="H14" i="6"/>
  <c r="H11" i="6"/>
  <c r="H5" i="6"/>
  <c r="D5" i="6"/>
  <c r="C15" i="5"/>
  <c r="C18" i="5"/>
  <c r="C17" i="5"/>
  <c r="N13" i="5"/>
  <c r="O13" i="5"/>
  <c r="O7" i="5"/>
  <c r="O8" i="5"/>
  <c r="O9" i="5"/>
  <c r="O10" i="5"/>
  <c r="O11" i="5"/>
  <c r="O12" i="5"/>
  <c r="O6" i="5"/>
  <c r="N12" i="5"/>
  <c r="N7" i="5"/>
  <c r="N8" i="5"/>
  <c r="N9" i="5"/>
  <c r="N10" i="5"/>
  <c r="N11" i="5"/>
  <c r="N6" i="5"/>
  <c r="I9" i="5"/>
  <c r="I8" i="5"/>
  <c r="I7" i="5"/>
  <c r="C11" i="5"/>
  <c r="C10" i="5"/>
  <c r="C9" i="5"/>
  <c r="C8" i="5"/>
  <c r="C7" i="5"/>
  <c r="C6" i="5"/>
  <c r="G40" i="3"/>
  <c r="M29" i="3"/>
  <c r="M28" i="3"/>
  <c r="M30" i="3"/>
  <c r="F20" i="3"/>
  <c r="F19" i="3"/>
  <c r="L14" i="3"/>
  <c r="L13" i="3"/>
  <c r="L12" i="3"/>
  <c r="K6" i="3"/>
  <c r="K7" i="3"/>
  <c r="K8" i="3"/>
  <c r="K5" i="3"/>
  <c r="K4" i="3"/>
  <c r="G8" i="3"/>
  <c r="L8" i="3" s="1"/>
  <c r="G9" i="3"/>
  <c r="G10" i="3"/>
  <c r="G12" i="3"/>
  <c r="G14" i="3"/>
  <c r="F7" i="3"/>
  <c r="G7" i="3" s="1"/>
  <c r="L5" i="3" s="1"/>
  <c r="F5" i="3"/>
  <c r="G5" i="3" s="1"/>
  <c r="F6" i="3"/>
  <c r="G6" i="3" s="1"/>
  <c r="F11" i="3"/>
  <c r="G11" i="3" s="1"/>
  <c r="F13" i="3"/>
  <c r="G13" i="3" s="1"/>
  <c r="F14" i="3"/>
  <c r="F4" i="3"/>
  <c r="G4" i="3" s="1"/>
  <c r="Q6" i="2"/>
  <c r="Q7" i="2"/>
  <c r="Q8" i="2"/>
  <c r="Q9" i="2"/>
  <c r="R9" i="2" s="1"/>
  <c r="Q10" i="2"/>
  <c r="Q11" i="2"/>
  <c r="Q12" i="2"/>
  <c r="Q5" i="2"/>
  <c r="R6" i="2"/>
  <c r="R7" i="2"/>
  <c r="R8" i="2"/>
  <c r="R10" i="2"/>
  <c r="R11" i="2"/>
  <c r="R12" i="2"/>
  <c r="R5" i="2"/>
  <c r="P8" i="2"/>
  <c r="P6" i="2"/>
  <c r="P7" i="2"/>
  <c r="P9" i="2"/>
  <c r="P10" i="2"/>
  <c r="P11" i="2"/>
  <c r="P12" i="2"/>
  <c r="P5" i="2"/>
  <c r="L19" i="2"/>
  <c r="L20" i="2"/>
  <c r="L21" i="2"/>
  <c r="L18" i="2"/>
  <c r="L12" i="2"/>
  <c r="L13" i="2"/>
  <c r="L14" i="2"/>
  <c r="L11" i="2"/>
  <c r="G19" i="2"/>
  <c r="G20" i="2"/>
  <c r="G21" i="2"/>
  <c r="G18" i="2"/>
  <c r="G12" i="2"/>
  <c r="G13" i="2"/>
  <c r="G14" i="2"/>
  <c r="G11" i="2"/>
  <c r="F5" i="2"/>
  <c r="F6" i="2"/>
  <c r="F7" i="2"/>
  <c r="F8" i="2"/>
  <c r="F4" i="2"/>
  <c r="E5" i="2"/>
  <c r="E6" i="2"/>
  <c r="E7" i="2"/>
  <c r="E8" i="2"/>
  <c r="E4" i="2"/>
  <c r="D5" i="2"/>
  <c r="D6" i="2"/>
  <c r="D7" i="2"/>
  <c r="D8" i="2"/>
  <c r="D4" i="2"/>
  <c r="O19" i="8"/>
  <c r="L16" i="8"/>
  <c r="F5" i="6"/>
  <c r="E8" i="8" l="1"/>
  <c r="D9" i="8"/>
  <c r="C9" i="8"/>
  <c r="E9" i="8"/>
  <c r="D8" i="8"/>
  <c r="L7" i="3"/>
  <c r="L4" i="3"/>
  <c r="L6" i="3"/>
  <c r="D8" i="1"/>
  <c r="J16" i="1"/>
  <c r="D6" i="1"/>
  <c r="D5" i="1"/>
  <c r="D4" i="1"/>
  <c r="D3" i="1"/>
  <c r="R4" i="1" s="1"/>
  <c r="S6" i="1" l="1"/>
  <c r="S7" i="1"/>
  <c r="S8" i="1"/>
  <c r="S5" i="1"/>
</calcChain>
</file>

<file path=xl/sharedStrings.xml><?xml version="1.0" encoding="utf-8"?>
<sst xmlns="http://schemas.openxmlformats.org/spreadsheetml/2006/main" count="260" uniqueCount="168">
  <si>
    <t>Average</t>
  </si>
  <si>
    <t>Std.Dev</t>
  </si>
  <si>
    <t>Max</t>
  </si>
  <si>
    <t>Min</t>
  </si>
  <si>
    <t>Weights</t>
  </si>
  <si>
    <t>Offset</t>
  </si>
  <si>
    <t>&lt;- how to use OFFSET formula and adopt that formula 
in the Name Manager to reflect 
changes in the functions automatically</t>
  </si>
  <si>
    <t>Stdev</t>
  </si>
  <si>
    <t>Ex3</t>
  </si>
  <si>
    <t>Ex2</t>
  </si>
  <si>
    <t>Ex1</t>
  </si>
  <si>
    <t>Sally</t>
  </si>
  <si>
    <t>Jimmy</t>
  </si>
  <si>
    <t>John</t>
  </si>
  <si>
    <t>Mac</t>
  </si>
  <si>
    <t>Jane</t>
  </si>
  <si>
    <t>IF</t>
  </si>
  <si>
    <t>AND</t>
  </si>
  <si>
    <t>OR</t>
  </si>
  <si>
    <t>x</t>
  </si>
  <si>
    <t>y</t>
  </si>
  <si>
    <t>and(x,y)</t>
  </si>
  <si>
    <t>or(x,y)</t>
  </si>
  <si>
    <t>Van</t>
  </si>
  <si>
    <t>Jan</t>
  </si>
  <si>
    <t>Ok</t>
  </si>
  <si>
    <t>San</t>
  </si>
  <si>
    <t>Mary</t>
  </si>
  <si>
    <t>Matt's discount:</t>
  </si>
  <si>
    <t>tax:</t>
  </si>
  <si>
    <t>Initial</t>
  </si>
  <si>
    <t>After discount</t>
  </si>
  <si>
    <t>Tax</t>
  </si>
  <si>
    <t>Total</t>
  </si>
  <si>
    <t>Seller</t>
  </si>
  <si>
    <t>Buyer</t>
  </si>
  <si>
    <t>Cookie</t>
  </si>
  <si>
    <t>Quantity</t>
  </si>
  <si>
    <t>Price</t>
  </si>
  <si>
    <t>Sales</t>
  </si>
  <si>
    <t>Charlie</t>
  </si>
  <si>
    <t>Ella</t>
  </si>
  <si>
    <t>Dana</t>
  </si>
  <si>
    <t>Ezra</t>
  </si>
  <si>
    <t>Veronica</t>
  </si>
  <si>
    <t>Leila</t>
  </si>
  <si>
    <t>Tricia</t>
  </si>
  <si>
    <t>Choco chip</t>
  </si>
  <si>
    <t>nutty butter</t>
  </si>
  <si>
    <t>snicky doodles</t>
  </si>
  <si>
    <t># of sales</t>
  </si>
  <si>
    <t>Total sales</t>
  </si>
  <si>
    <t>seller</t>
  </si>
  <si>
    <t>Cookie summary</t>
  </si>
  <si>
    <t>&lt;- copy the cookie list and paste, and then go to Data tab, Remove duplicates</t>
  </si>
  <si>
    <t>Seller (unique list)</t>
  </si>
  <si>
    <t>Quantity sold</t>
  </si>
  <si>
    <t>Employee</t>
  </si>
  <si>
    <t>Mark</t>
  </si>
  <si>
    <t>Heather</t>
  </si>
  <si>
    <t>Julia</t>
  </si>
  <si>
    <t>Chris</t>
  </si>
  <si>
    <t>Evan</t>
  </si>
  <si>
    <t>Kim</t>
  </si>
  <si>
    <t>Count if over 400</t>
  </si>
  <si>
    <t>Sumif over 400</t>
  </si>
  <si>
    <t>Year</t>
  </si>
  <si>
    <t>Month</t>
  </si>
  <si>
    <t>Day</t>
  </si>
  <si>
    <t>High</t>
  </si>
  <si>
    <t>Low</t>
  </si>
  <si>
    <t>Precipitation</t>
  </si>
  <si>
    <t>Avg daily precipitation</t>
  </si>
  <si>
    <t>Max precipitation</t>
  </si>
  <si>
    <t>Erroneous Measurements</t>
  </si>
  <si>
    <t>Value</t>
  </si>
  <si>
    <t>Monday</t>
  </si>
  <si>
    <t>Tuesday</t>
  </si>
  <si>
    <t>Wednesday</t>
  </si>
  <si>
    <t>Thursday</t>
  </si>
  <si>
    <t>Friday</t>
  </si>
  <si>
    <t>Saturday</t>
  </si>
  <si>
    <t>Sunday</t>
  </si>
  <si>
    <t>Day:</t>
  </si>
  <si>
    <t>Total value:</t>
  </si>
  <si>
    <t>Ex</t>
  </si>
  <si>
    <t>COUNIF(), SUMIF()</t>
  </si>
  <si>
    <t>Name</t>
  </si>
  <si>
    <t>"fjalkjf  klajfklsdajlkfjakljfkajdkfjakjflkjadlk"</t>
  </si>
  <si>
    <t>len:</t>
  </si>
  <si>
    <t>left:</t>
  </si>
  <si>
    <t>mid:</t>
  </si>
  <si>
    <t>right:</t>
  </si>
  <si>
    <t>aj</t>
  </si>
  <si>
    <t>find 'aj'</t>
  </si>
  <si>
    <t>search 'aj'</t>
  </si>
  <si>
    <t>some name</t>
  </si>
  <si>
    <t>SoMe NaMe</t>
  </si>
  <si>
    <t>upper:</t>
  </si>
  <si>
    <t>lower:</t>
  </si>
  <si>
    <t>proper:</t>
  </si>
  <si>
    <t>Amy, Ajohn</t>
  </si>
  <si>
    <t>Ben, Bjohn</t>
  </si>
  <si>
    <t>Cen, Cjodk</t>
  </si>
  <si>
    <t>Der,jekjrw</t>
  </si>
  <si>
    <t>Egdsfds, Eggjdskl</t>
  </si>
  <si>
    <t>Ferewr,Ferjwklr</t>
  </si>
  <si>
    <t>Jane, john</t>
  </si>
  <si>
    <t>len(), left(), mid(), right(), find(), search()</t>
  </si>
  <si>
    <t>New, Student</t>
  </si>
  <si>
    <t>&lt;- automatically renews when I put in new student</t>
  </si>
  <si>
    <t>Ex4</t>
  </si>
  <si>
    <t>01-45A-94</t>
  </si>
  <si>
    <t>H</t>
  </si>
  <si>
    <t>E</t>
  </si>
  <si>
    <t>L</t>
  </si>
  <si>
    <t>O</t>
  </si>
  <si>
    <t>concatenate</t>
  </si>
  <si>
    <t>concat</t>
  </si>
  <si>
    <t>textjoin</t>
  </si>
  <si>
    <t>&amp;</t>
  </si>
  <si>
    <t>F</t>
  </si>
  <si>
    <t>I</t>
  </si>
  <si>
    <t>M</t>
  </si>
  <si>
    <t>Trim()</t>
  </si>
  <si>
    <t xml:space="preserve">   Hello      my name        is      Charlie!</t>
  </si>
  <si>
    <t>Hello</t>
  </si>
  <si>
    <t>hello</t>
  </si>
  <si>
    <t>exact()</t>
  </si>
  <si>
    <t>email concatenate</t>
  </si>
  <si>
    <t>Ex.</t>
  </si>
  <si>
    <t>concatenate(), concat(), textjoin(), &amp;, trim(), exact()</t>
  </si>
  <si>
    <t>Financial function</t>
  </si>
  <si>
    <t>PMT</t>
  </si>
  <si>
    <t>FV</t>
  </si>
  <si>
    <t>PV</t>
  </si>
  <si>
    <t>payment</t>
  </si>
  <si>
    <t>future value</t>
  </si>
  <si>
    <t>present value</t>
  </si>
  <si>
    <t>(calculates the periodic payment for a loan)</t>
  </si>
  <si>
    <t>Total paid</t>
  </si>
  <si>
    <t>Interest Paid</t>
  </si>
  <si>
    <t xml:space="preserve">Using PMT… </t>
  </si>
  <si>
    <t>I need to deposit this much per month:</t>
  </si>
  <si>
    <t>Q1</t>
  </si>
  <si>
    <t>Q2.</t>
  </si>
  <si>
    <t>Earned:</t>
  </si>
  <si>
    <t>Q3.</t>
  </si>
  <si>
    <t>Let's check PMT</t>
  </si>
  <si>
    <t xml:space="preserve">pmt(), fv(), pv() </t>
  </si>
  <si>
    <t>&lt;- made an array</t>
  </si>
  <si>
    <t>S=P * (1+i)^n</t>
  </si>
  <si>
    <t>P</t>
  </si>
  <si>
    <t>i</t>
  </si>
  <si>
    <t>n(years)</t>
  </si>
  <si>
    <t>S</t>
  </si>
  <si>
    <t>&lt;- used array characteristics
to get the answers</t>
  </si>
  <si>
    <t>&lt;- used vector array to multiply row,column</t>
  </si>
  <si>
    <t>radius</t>
  </si>
  <si>
    <t>height</t>
  </si>
  <si>
    <t>convol function I made using Developer-&gt; Visual Basic-&gt; Module -&gt; programming/code for the function</t>
  </si>
  <si>
    <t>volume</t>
  </si>
  <si>
    <t>Exx</t>
  </si>
  <si>
    <t>range?</t>
  </si>
  <si>
    <t>Making a custom, User Defined Function, VBA</t>
  </si>
  <si>
    <t>&lt;- range() function I made for custom usage</t>
  </si>
  <si>
    <t>Making an array using vector array</t>
  </si>
  <si>
    <t>Making a custom user defined function, VBA, using Developer tools, Visual Basic, Module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</si>
</sst>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8" formatCode="&quot;$&quot;#,##0.00_);[Red]\(&quot;$&quot;#,##0.00\)"/>
    <numFmt numFmtId="44" formatCode="_(&quot;$&quot;* #,##0.00_);_(&quot;$&quot;* \(#,##0.00\);_(&quot;$&quot;* &quot;-&quot;??_);_(@_)"/>
  </numFmts>
  <fonts count="3" x14ac:knownFonts="1">
    <font>
      <sz val="11"/>
      <color theme="1"/>
      <name val="Calibri"/>
      <family val="2"/>
      <scheme val="minor"/>
    </font>
    <font>
      <sz val="11"/>
      <color theme="1"/>
      <name val="Calibri"/>
      <family val="2"/>
      <scheme val="minor"/>
    </font>
    <font>
      <sz val="11"/>
      <color rgb="FFFF0000"/>
      <name val="Calibri"/>
      <family val="2"/>
      <scheme val="minor"/>
    </font>
  </fonts>
  <fills count="6">
    <fill>
      <patternFill patternType="none"/>
    </fill>
    <fill>
      <patternFill patternType="gray125"/>
    </fill>
    <fill>
      <patternFill patternType="solid">
        <fgColor theme="4" tint="0.59999389629810485"/>
        <bgColor indexed="64"/>
      </patternFill>
    </fill>
    <fill>
      <patternFill patternType="solid">
        <fgColor theme="9" tint="0.79998168889431442"/>
        <bgColor indexed="64"/>
      </patternFill>
    </fill>
    <fill>
      <patternFill patternType="solid">
        <fgColor rgb="FFFFCCFF"/>
        <bgColor indexed="64"/>
      </patternFill>
    </fill>
    <fill>
      <patternFill patternType="solid">
        <fgColor theme="4" tint="0.79998168889431442"/>
        <bgColor indexed="64"/>
      </patternFill>
    </fill>
  </fills>
  <borders count="3">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s>
  <cellStyleXfs count="3">
    <xf numFmtId="0" fontId="0" fillId="0" borderId="0"/>
    <xf numFmtId="44" fontId="1" fillId="0" borderId="0" applyFont="0" applyFill="0" applyBorder="0" applyAlignment="0" applyProtection="0"/>
    <xf numFmtId="9" fontId="1" fillId="0" borderId="0" applyFont="0" applyFill="0" applyBorder="0" applyAlignment="0" applyProtection="0"/>
  </cellStyleXfs>
  <cellXfs count="14">
    <xf numFmtId="0" fontId="0" fillId="0" borderId="0" xfId="0"/>
    <xf numFmtId="1" fontId="0" fillId="0" borderId="0" xfId="0" applyNumberFormat="1"/>
    <xf numFmtId="0" fontId="0" fillId="3" borderId="0" xfId="0" applyFill="1"/>
    <xf numFmtId="0" fontId="0" fillId="2" borderId="0" xfId="0" applyFill="1" applyAlignment="1">
      <alignment horizontal="center" vertical="top" wrapText="1"/>
    </xf>
    <xf numFmtId="0" fontId="0" fillId="4" borderId="0" xfId="0" applyFill="1"/>
    <xf numFmtId="9" fontId="0" fillId="0" borderId="0" xfId="2" applyFont="1"/>
    <xf numFmtId="9" fontId="0" fillId="0" borderId="0" xfId="2" applyNumberFormat="1" applyFont="1"/>
    <xf numFmtId="44" fontId="0" fillId="0" borderId="0" xfId="1" applyFont="1"/>
    <xf numFmtId="0" fontId="2" fillId="0" borderId="0" xfId="0" applyFont="1"/>
    <xf numFmtId="0" fontId="0" fillId="0" borderId="0" xfId="0" applyAlignment="1"/>
    <xf numFmtId="8" fontId="0" fillId="0" borderId="0" xfId="0" applyNumberFormat="1"/>
    <xf numFmtId="0" fontId="0" fillId="0" borderId="1" xfId="0" applyBorder="1"/>
    <xf numFmtId="0" fontId="0" fillId="0" borderId="2" xfId="0" applyBorder="1"/>
    <xf numFmtId="0" fontId="0" fillId="5" borderId="0" xfId="0" applyFill="1"/>
  </cellXfs>
  <cellStyles count="3">
    <cellStyle name="Currency" xfId="1" builtinId="4"/>
    <cellStyle name="Normal" xfId="0" builtinId="0"/>
    <cellStyle name="Percent" xfId="2" builtinId="5"/>
  </cellStyles>
  <dxfs count="0"/>
  <tableStyles count="0" defaultTableStyle="TableStyleMedium2" defaultPivotStyle="PivotStyleLight16"/>
  <colors>
    <mruColors>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3</xdr:row>
      <xdr:rowOff>14068</xdr:rowOff>
    </xdr:from>
    <xdr:to>
      <xdr:col>9</xdr:col>
      <xdr:colOff>336296</xdr:colOff>
      <xdr:row>7</xdr:row>
      <xdr:rowOff>14131</xdr:rowOff>
    </xdr:to>
    <xdr:pic>
      <xdr:nvPicPr>
        <xdr:cNvPr id="7" name="Picture 6"/>
        <xdr:cNvPicPr>
          <a:picLocks noChangeAspect="1"/>
        </xdr:cNvPicPr>
      </xdr:nvPicPr>
      <xdr:blipFill>
        <a:blip xmlns:r="http://schemas.openxmlformats.org/officeDocument/2006/relationships" r:embed="rId1"/>
        <a:stretch>
          <a:fillRect/>
        </a:stretch>
      </xdr:blipFill>
      <xdr:spPr>
        <a:xfrm>
          <a:off x="618978" y="379828"/>
          <a:ext cx="6322100" cy="731583"/>
        </a:xfrm>
        <a:prstGeom prst="rect">
          <a:avLst/>
        </a:prstGeom>
      </xdr:spPr>
    </xdr:pic>
    <xdr:clientData/>
  </xdr:twoCellAnchor>
  <xdr:twoCellAnchor>
    <xdr:from>
      <xdr:col>1</xdr:col>
      <xdr:colOff>7034</xdr:colOff>
      <xdr:row>7</xdr:row>
      <xdr:rowOff>98474</xdr:rowOff>
    </xdr:from>
    <xdr:to>
      <xdr:col>11</xdr:col>
      <xdr:colOff>126609</xdr:colOff>
      <xdr:row>10</xdr:row>
      <xdr:rowOff>147711</xdr:rowOff>
    </xdr:to>
    <xdr:sp macro="" textlink="">
      <xdr:nvSpPr>
        <xdr:cNvPr id="8" name="TextBox 7"/>
        <xdr:cNvSpPr txBox="1"/>
      </xdr:nvSpPr>
      <xdr:spPr>
        <a:xfrm>
          <a:off x="626012" y="1195754"/>
          <a:ext cx="6309360" cy="5978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Q2.</a:t>
          </a:r>
          <a:r>
            <a:rPr lang="en-US" sz="1100" baseline="0"/>
            <a:t> </a:t>
          </a:r>
          <a:r>
            <a:rPr lang="en-US" sz="1100"/>
            <a:t>You insert $5,000 into a savings</a:t>
          </a:r>
          <a:r>
            <a:rPr lang="en-US" sz="1100" baseline="0"/>
            <a:t> account that pays 2% per year, compounded annually.     </a:t>
          </a:r>
        </a:p>
        <a:p>
          <a:r>
            <a:rPr lang="en-US" sz="1100" baseline="0"/>
            <a:t>If all the money is allowed to accumulate, how much will you have in 10 years?</a:t>
          </a:r>
          <a:endParaRPr lang="en-US" sz="1100"/>
        </a:p>
      </xdr:txBody>
    </xdr:sp>
    <xdr:clientData/>
  </xdr:twoCellAnchor>
  <xdr:twoCellAnchor>
    <xdr:from>
      <xdr:col>1</xdr:col>
      <xdr:colOff>14068</xdr:colOff>
      <xdr:row>11</xdr:row>
      <xdr:rowOff>49238</xdr:rowOff>
    </xdr:from>
    <xdr:to>
      <xdr:col>11</xdr:col>
      <xdr:colOff>84406</xdr:colOff>
      <xdr:row>14</xdr:row>
      <xdr:rowOff>154746</xdr:rowOff>
    </xdr:to>
    <xdr:sp macro="" textlink="">
      <xdr:nvSpPr>
        <xdr:cNvPr id="9" name="TextBox 8"/>
        <xdr:cNvSpPr txBox="1"/>
      </xdr:nvSpPr>
      <xdr:spPr>
        <a:xfrm>
          <a:off x="633046" y="1878038"/>
          <a:ext cx="6260123" cy="65414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Q3. If you want $20,000 in 5 years and you can</a:t>
          </a:r>
          <a:r>
            <a:rPr lang="en-US" sz="1100" baseline="0"/>
            <a:t> make $200 payments per month </a:t>
          </a:r>
        </a:p>
        <a:p>
          <a:r>
            <a:rPr lang="en-US" sz="1100" baseline="0"/>
            <a:t>with an annual interest rateof 3.5% (compounded monthly), </a:t>
          </a:r>
        </a:p>
        <a:p>
          <a:r>
            <a:rPr lang="en-US" sz="1100" baseline="0"/>
            <a:t>how much do you need to put down today?</a:t>
          </a:r>
          <a:endParaRPr lang="en-US" sz="1100"/>
        </a:p>
      </xdr:txBody>
    </xdr:sp>
    <xdr:clientData/>
  </xdr:twoCellAnchor>
  <xdr:twoCellAnchor>
    <xdr:from>
      <xdr:col>1</xdr:col>
      <xdr:colOff>7035</xdr:colOff>
      <xdr:row>23</xdr:row>
      <xdr:rowOff>35168</xdr:rowOff>
    </xdr:from>
    <xdr:to>
      <xdr:col>10</xdr:col>
      <xdr:colOff>548640</xdr:colOff>
      <xdr:row>27</xdr:row>
      <xdr:rowOff>84405</xdr:rowOff>
    </xdr:to>
    <xdr:sp macro="" textlink="">
      <xdr:nvSpPr>
        <xdr:cNvPr id="10" name="TextBox 9"/>
        <xdr:cNvSpPr txBox="1"/>
      </xdr:nvSpPr>
      <xdr:spPr>
        <a:xfrm>
          <a:off x="626013" y="4058528"/>
          <a:ext cx="6618849" cy="78075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Q4. If we wish to have $5,000 in 5 years (a future value) and our savings account starts out empty (present value), how much will we have to set aside to save each month if the annual interest rate of the savings account is 3% and interest is compounded monthly? Round your answer to the nearest penny (hundredths place), enter it as a positive value (even though payments are negative), and leave off the $ sign. </a:t>
          </a:r>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2:W19"/>
  <sheetViews>
    <sheetView tabSelected="1" zoomScale="85" zoomScaleNormal="85" workbookViewId="0">
      <selection activeCell="K19" sqref="K19"/>
    </sheetView>
  </sheetViews>
  <sheetFormatPr defaultRowHeight="14.4" x14ac:dyDescent="0.3"/>
  <sheetData>
    <row r="2" spans="2:23" x14ac:dyDescent="0.3">
      <c r="B2" t="s">
        <v>10</v>
      </c>
      <c r="J2" t="s">
        <v>9</v>
      </c>
      <c r="R2" t="s">
        <v>8</v>
      </c>
    </row>
    <row r="3" spans="2:23" x14ac:dyDescent="0.3">
      <c r="B3" t="s">
        <v>4</v>
      </c>
      <c r="C3" s="2" t="s">
        <v>0</v>
      </c>
      <c r="D3" s="1">
        <f ca="1">AVERAGE(weights)</f>
        <v>31.857142857142858</v>
      </c>
      <c r="J3">
        <v>15</v>
      </c>
      <c r="K3">
        <v>11</v>
      </c>
      <c r="L3">
        <v>14</v>
      </c>
      <c r="M3">
        <v>11</v>
      </c>
      <c r="N3">
        <v>5</v>
      </c>
      <c r="O3">
        <v>11</v>
      </c>
      <c r="R3">
        <v>5</v>
      </c>
      <c r="S3">
        <v>2</v>
      </c>
      <c r="T3">
        <v>7</v>
      </c>
      <c r="U3">
        <v>6</v>
      </c>
      <c r="V3">
        <v>7</v>
      </c>
      <c r="W3">
        <v>1</v>
      </c>
    </row>
    <row r="4" spans="2:23" x14ac:dyDescent="0.3">
      <c r="B4" s="1">
        <v>25</v>
      </c>
      <c r="C4" s="2" t="s">
        <v>1</v>
      </c>
      <c r="D4">
        <f ca="1">STDEV(weights)</f>
        <v>12.930923834312505</v>
      </c>
      <c r="J4">
        <v>20</v>
      </c>
      <c r="K4">
        <v>1</v>
      </c>
      <c r="L4">
        <v>10</v>
      </c>
      <c r="M4">
        <v>10</v>
      </c>
      <c r="N4">
        <v>13</v>
      </c>
      <c r="O4">
        <v>20</v>
      </c>
      <c r="R4">
        <f ca="1">OFFSET($R$3,0,0,1,COUNT($3:$3))</f>
        <v>5</v>
      </c>
    </row>
    <row r="5" spans="2:23" x14ac:dyDescent="0.3">
      <c r="B5" s="1">
        <v>34</v>
      </c>
      <c r="C5" s="2" t="s">
        <v>2</v>
      </c>
      <c r="D5" s="1">
        <f ca="1">MAX(weights)</f>
        <v>70</v>
      </c>
      <c r="J5">
        <v>14</v>
      </c>
      <c r="K5">
        <v>8</v>
      </c>
      <c r="L5">
        <v>5</v>
      </c>
      <c r="M5">
        <v>8</v>
      </c>
      <c r="N5">
        <v>3</v>
      </c>
      <c r="O5">
        <v>15</v>
      </c>
      <c r="R5" s="2" t="s">
        <v>0</v>
      </c>
      <c r="S5">
        <f ca="1">AVERAGE(x)</f>
        <v>4.666666666666667</v>
      </c>
    </row>
    <row r="6" spans="2:23" x14ac:dyDescent="0.3">
      <c r="B6" s="1">
        <v>27</v>
      </c>
      <c r="C6" s="2" t="s">
        <v>3</v>
      </c>
      <c r="D6" s="1">
        <f ca="1">MIN(weights)</f>
        <v>15</v>
      </c>
      <c r="J6">
        <v>19</v>
      </c>
      <c r="K6">
        <v>7</v>
      </c>
      <c r="L6">
        <v>3</v>
      </c>
      <c r="M6">
        <v>12</v>
      </c>
      <c r="N6">
        <v>6</v>
      </c>
      <c r="O6">
        <v>13</v>
      </c>
      <c r="R6" s="2" t="s">
        <v>7</v>
      </c>
      <c r="S6">
        <f ca="1">STDEV(x)</f>
        <v>2.5819888974716116</v>
      </c>
    </row>
    <row r="7" spans="2:23" x14ac:dyDescent="0.3">
      <c r="B7" s="1">
        <v>32</v>
      </c>
      <c r="C7" s="2"/>
      <c r="D7" s="1"/>
      <c r="J7">
        <v>17</v>
      </c>
      <c r="K7">
        <v>18</v>
      </c>
      <c r="L7">
        <v>14</v>
      </c>
      <c r="M7">
        <v>13</v>
      </c>
      <c r="N7">
        <v>10</v>
      </c>
      <c r="O7">
        <v>8</v>
      </c>
      <c r="R7" s="2" t="s">
        <v>2</v>
      </c>
      <c r="S7">
        <f ca="1">MAX(x)</f>
        <v>7</v>
      </c>
    </row>
    <row r="8" spans="2:23" ht="73.150000000000006" customHeight="1" x14ac:dyDescent="0.3">
      <c r="B8" s="1">
        <v>39</v>
      </c>
      <c r="C8" s="2" t="s">
        <v>5</v>
      </c>
      <c r="D8">
        <f ca="1">OFFSET($B$4,0,0,COUNT($B:$B),1)</f>
        <v>39</v>
      </c>
      <c r="E8" s="3" t="s">
        <v>6</v>
      </c>
      <c r="F8" s="3"/>
      <c r="G8" s="3"/>
      <c r="H8" s="3"/>
      <c r="J8">
        <v>16</v>
      </c>
      <c r="K8">
        <v>8</v>
      </c>
      <c r="L8">
        <v>19</v>
      </c>
      <c r="M8">
        <v>12</v>
      </c>
      <c r="N8">
        <v>9</v>
      </c>
      <c r="O8">
        <v>20</v>
      </c>
      <c r="R8" s="2" t="s">
        <v>3</v>
      </c>
      <c r="S8">
        <f ca="1">MIN(x)</f>
        <v>1</v>
      </c>
    </row>
    <row r="9" spans="2:23" x14ac:dyDescent="0.3">
      <c r="B9" s="1">
        <v>36</v>
      </c>
      <c r="J9">
        <v>17</v>
      </c>
      <c r="K9">
        <v>12</v>
      </c>
      <c r="L9">
        <v>5</v>
      </c>
      <c r="M9">
        <v>20</v>
      </c>
      <c r="N9">
        <v>10</v>
      </c>
      <c r="O9">
        <v>1</v>
      </c>
    </row>
    <row r="10" spans="2:23" x14ac:dyDescent="0.3">
      <c r="B10" s="1">
        <v>23</v>
      </c>
      <c r="J10">
        <v>17</v>
      </c>
      <c r="K10">
        <v>15</v>
      </c>
      <c r="L10">
        <v>13</v>
      </c>
      <c r="M10">
        <v>7</v>
      </c>
      <c r="N10">
        <v>19</v>
      </c>
      <c r="O10">
        <v>2</v>
      </c>
    </row>
    <row r="11" spans="2:23" x14ac:dyDescent="0.3">
      <c r="B11" s="1">
        <v>38</v>
      </c>
      <c r="J11">
        <v>1</v>
      </c>
      <c r="K11">
        <v>2</v>
      </c>
      <c r="L11">
        <v>17</v>
      </c>
      <c r="M11">
        <v>13</v>
      </c>
      <c r="N11">
        <v>15</v>
      </c>
      <c r="O11">
        <v>8</v>
      </c>
    </row>
    <row r="12" spans="2:23" x14ac:dyDescent="0.3">
      <c r="B12" s="1">
        <v>24</v>
      </c>
      <c r="J12">
        <v>5</v>
      </c>
      <c r="K12">
        <v>6</v>
      </c>
      <c r="L12">
        <v>20</v>
      </c>
      <c r="M12">
        <v>2</v>
      </c>
      <c r="N12">
        <v>10</v>
      </c>
      <c r="O12">
        <v>8</v>
      </c>
    </row>
    <row r="13" spans="2:23" x14ac:dyDescent="0.3">
      <c r="B13" s="1">
        <v>34</v>
      </c>
      <c r="J13">
        <v>15</v>
      </c>
      <c r="K13">
        <v>4</v>
      </c>
      <c r="L13">
        <v>11</v>
      </c>
      <c r="M13">
        <v>11</v>
      </c>
      <c r="N13">
        <v>13</v>
      </c>
      <c r="O13">
        <v>5</v>
      </c>
    </row>
    <row r="14" spans="2:23" x14ac:dyDescent="0.3">
      <c r="B14" s="1">
        <v>25</v>
      </c>
    </row>
    <row r="15" spans="2:23" x14ac:dyDescent="0.3">
      <c r="B15" s="1">
        <v>24</v>
      </c>
      <c r="J15" s="2" t="s">
        <v>5</v>
      </c>
    </row>
    <row r="16" spans="2:23" x14ac:dyDescent="0.3">
      <c r="B16" s="1">
        <v>70</v>
      </c>
      <c r="J16" t="e">
        <f ca="1">OFFSET(K3,2,2,3,2)</f>
        <v>#VALUE!</v>
      </c>
    </row>
    <row r="17" spans="2:2" x14ac:dyDescent="0.3">
      <c r="B17" s="1">
        <v>15</v>
      </c>
    </row>
    <row r="19" spans="2:2" x14ac:dyDescent="0.3">
      <c r="B19" s="1"/>
    </row>
  </sheetData>
  <mergeCells count="1">
    <mergeCell ref="E8:H8"/>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2:R21"/>
  <sheetViews>
    <sheetView workbookViewId="0">
      <selection activeCell="N17" sqref="N17"/>
    </sheetView>
  </sheetViews>
  <sheetFormatPr defaultRowHeight="14.4" x14ac:dyDescent="0.3"/>
  <cols>
    <col min="15" max="15" width="14.5" bestFit="1" customWidth="1"/>
  </cols>
  <sheetData>
    <row r="2" spans="2:18" x14ac:dyDescent="0.3">
      <c r="O2" t="s">
        <v>28</v>
      </c>
      <c r="P2" s="6">
        <v>0.2</v>
      </c>
    </row>
    <row r="3" spans="2:18" x14ac:dyDescent="0.3">
      <c r="O3" t="s">
        <v>29</v>
      </c>
      <c r="P3" s="5">
        <v>0.1</v>
      </c>
    </row>
    <row r="4" spans="2:18" x14ac:dyDescent="0.3">
      <c r="B4" s="4" t="s">
        <v>16</v>
      </c>
      <c r="C4">
        <v>1</v>
      </c>
      <c r="D4">
        <f>IF(C4=3, 100,0)</f>
        <v>0</v>
      </c>
      <c r="E4" t="str">
        <f>IF(C4=2, "Equals to 2", " ")</f>
        <v xml:space="preserve"> </v>
      </c>
      <c r="F4" t="str">
        <f>IF(C4:C8=4,"Yay!"," ")</f>
        <v xml:space="preserve"> </v>
      </c>
      <c r="O4" t="s">
        <v>30</v>
      </c>
      <c r="P4" s="5" t="s">
        <v>31</v>
      </c>
      <c r="Q4" t="s">
        <v>32</v>
      </c>
      <c r="R4" t="s">
        <v>33</v>
      </c>
    </row>
    <row r="5" spans="2:18" x14ac:dyDescent="0.3">
      <c r="C5">
        <v>2</v>
      </c>
      <c r="D5">
        <f t="shared" ref="D5:D8" si="0">IF(C5=3, 100,0)</f>
        <v>0</v>
      </c>
      <c r="E5" t="str">
        <f t="shared" ref="E5:E8" si="1">IF(C5=2, "Equals to 2", " ")</f>
        <v>Equals to 2</v>
      </c>
      <c r="F5" t="str">
        <f>IF(C5:C9=4,"Yay!"," ")</f>
        <v xml:space="preserve"> </v>
      </c>
      <c r="N5" t="s">
        <v>23</v>
      </c>
      <c r="O5">
        <v>40</v>
      </c>
      <c r="P5">
        <f>IF(N5="Mac", O5*P2, O5)</f>
        <v>40</v>
      </c>
      <c r="Q5">
        <f>IF(OR(N5="Van", N5="Ok"), 0, $O5*$P$3)</f>
        <v>0</v>
      </c>
      <c r="R5">
        <f>P5+Q5</f>
        <v>40</v>
      </c>
    </row>
    <row r="6" spans="2:18" x14ac:dyDescent="0.3">
      <c r="C6">
        <v>3</v>
      </c>
      <c r="D6">
        <f t="shared" si="0"/>
        <v>100</v>
      </c>
      <c r="E6" t="str">
        <f t="shared" si="1"/>
        <v xml:space="preserve"> </v>
      </c>
      <c r="F6" t="str">
        <f>IF(C6:C10=4,"Yay!"," ")</f>
        <v xml:space="preserve"> </v>
      </c>
      <c r="N6" t="s">
        <v>24</v>
      </c>
      <c r="O6">
        <v>35</v>
      </c>
      <c r="P6">
        <f t="shared" ref="P6:P12" si="2">IF(N6="Mac", O6*P3, O6)</f>
        <v>35</v>
      </c>
      <c r="Q6">
        <f t="shared" ref="Q6:Q12" si="3">IF(OR(N6="Van", N6="Ok"), 0, $O6*$P$3)</f>
        <v>3.5</v>
      </c>
      <c r="R6">
        <f t="shared" ref="R6:R12" si="4">P6+Q6</f>
        <v>38.5</v>
      </c>
    </row>
    <row r="7" spans="2:18" x14ac:dyDescent="0.3">
      <c r="C7">
        <v>4</v>
      </c>
      <c r="D7">
        <f t="shared" si="0"/>
        <v>0</v>
      </c>
      <c r="E7" t="str">
        <f t="shared" si="1"/>
        <v xml:space="preserve"> </v>
      </c>
      <c r="F7" t="str">
        <f>IF(C7:C11=4,"Yay!"," ")</f>
        <v>Yay!</v>
      </c>
      <c r="N7" t="s">
        <v>13</v>
      </c>
      <c r="O7">
        <v>45</v>
      </c>
      <c r="P7">
        <f t="shared" si="2"/>
        <v>45</v>
      </c>
      <c r="Q7">
        <f t="shared" si="3"/>
        <v>4.5</v>
      </c>
      <c r="R7">
        <f t="shared" si="4"/>
        <v>49.5</v>
      </c>
    </row>
    <row r="8" spans="2:18" x14ac:dyDescent="0.3">
      <c r="C8">
        <v>5</v>
      </c>
      <c r="D8">
        <f t="shared" si="0"/>
        <v>0</v>
      </c>
      <c r="E8" t="str">
        <f t="shared" si="1"/>
        <v xml:space="preserve"> </v>
      </c>
      <c r="F8" t="str">
        <f>IF(C8:C12=4,"Yay!"," ")</f>
        <v xml:space="preserve"> </v>
      </c>
      <c r="N8" t="s">
        <v>14</v>
      </c>
      <c r="O8">
        <v>34</v>
      </c>
      <c r="P8">
        <f>IF(N8="Mac", O8*(1-P2), O8)</f>
        <v>27.200000000000003</v>
      </c>
      <c r="Q8">
        <f t="shared" si="3"/>
        <v>3.4000000000000004</v>
      </c>
      <c r="R8">
        <f t="shared" si="4"/>
        <v>30.6</v>
      </c>
    </row>
    <row r="9" spans="2:18" x14ac:dyDescent="0.3">
      <c r="N9" t="s">
        <v>25</v>
      </c>
      <c r="O9">
        <v>36</v>
      </c>
      <c r="P9">
        <f t="shared" si="2"/>
        <v>36</v>
      </c>
      <c r="Q9">
        <f t="shared" si="3"/>
        <v>0</v>
      </c>
      <c r="R9">
        <f t="shared" si="4"/>
        <v>36</v>
      </c>
    </row>
    <row r="10" spans="2:18" x14ac:dyDescent="0.3">
      <c r="B10" s="4" t="s">
        <v>17</v>
      </c>
      <c r="C10" t="s">
        <v>19</v>
      </c>
      <c r="D10" t="s">
        <v>20</v>
      </c>
      <c r="G10" t="s">
        <v>21</v>
      </c>
      <c r="I10" t="s">
        <v>19</v>
      </c>
      <c r="J10" t="s">
        <v>20</v>
      </c>
      <c r="L10" t="s">
        <v>21</v>
      </c>
      <c r="N10" t="s">
        <v>26</v>
      </c>
      <c r="O10">
        <v>56</v>
      </c>
      <c r="P10">
        <f t="shared" si="2"/>
        <v>56</v>
      </c>
      <c r="Q10">
        <f t="shared" si="3"/>
        <v>5.6000000000000005</v>
      </c>
      <c r="R10">
        <f t="shared" si="4"/>
        <v>61.6</v>
      </c>
    </row>
    <row r="11" spans="2:18" x14ac:dyDescent="0.3">
      <c r="C11" t="b">
        <v>0</v>
      </c>
      <c r="D11" t="b">
        <v>0</v>
      </c>
      <c r="G11" t="b">
        <f>AND(C11,D11)</f>
        <v>0</v>
      </c>
      <c r="I11">
        <v>0</v>
      </c>
      <c r="J11">
        <v>0</v>
      </c>
      <c r="L11" t="b">
        <f>AND(I11,J11)</f>
        <v>0</v>
      </c>
      <c r="N11" t="s">
        <v>15</v>
      </c>
      <c r="O11">
        <v>34</v>
      </c>
      <c r="P11">
        <f t="shared" si="2"/>
        <v>34</v>
      </c>
      <c r="Q11">
        <f t="shared" si="3"/>
        <v>3.4000000000000004</v>
      </c>
      <c r="R11">
        <f t="shared" si="4"/>
        <v>37.4</v>
      </c>
    </row>
    <row r="12" spans="2:18" x14ac:dyDescent="0.3">
      <c r="C12" t="b">
        <v>0</v>
      </c>
      <c r="D12" t="b">
        <v>1</v>
      </c>
      <c r="G12" t="b">
        <f t="shared" ref="G12:G14" si="5">AND(C12,D12)</f>
        <v>0</v>
      </c>
      <c r="I12">
        <v>0</v>
      </c>
      <c r="J12">
        <v>1</v>
      </c>
      <c r="L12" t="b">
        <f t="shared" ref="L12:L14" si="6">AND(I12,J12)</f>
        <v>0</v>
      </c>
      <c r="N12" t="s">
        <v>27</v>
      </c>
      <c r="O12">
        <v>67</v>
      </c>
      <c r="P12">
        <f t="shared" si="2"/>
        <v>67</v>
      </c>
      <c r="Q12">
        <f t="shared" si="3"/>
        <v>6.7</v>
      </c>
      <c r="R12">
        <f t="shared" si="4"/>
        <v>73.7</v>
      </c>
    </row>
    <row r="13" spans="2:18" x14ac:dyDescent="0.3">
      <c r="C13" t="b">
        <v>1</v>
      </c>
      <c r="D13" t="b">
        <v>0</v>
      </c>
      <c r="G13" t="b">
        <f t="shared" si="5"/>
        <v>0</v>
      </c>
      <c r="I13">
        <v>1</v>
      </c>
      <c r="J13">
        <v>0</v>
      </c>
      <c r="L13" t="b">
        <f t="shared" si="6"/>
        <v>0</v>
      </c>
    </row>
    <row r="14" spans="2:18" x14ac:dyDescent="0.3">
      <c r="C14" t="b">
        <v>1</v>
      </c>
      <c r="D14" t="b">
        <v>1</v>
      </c>
      <c r="G14" t="b">
        <f t="shared" si="5"/>
        <v>1</v>
      </c>
      <c r="I14">
        <v>1</v>
      </c>
      <c r="J14">
        <v>1</v>
      </c>
      <c r="L14" t="b">
        <f t="shared" si="6"/>
        <v>1</v>
      </c>
    </row>
    <row r="17" spans="2:12" x14ac:dyDescent="0.3">
      <c r="B17" s="4" t="s">
        <v>18</v>
      </c>
      <c r="G17" t="s">
        <v>22</v>
      </c>
      <c r="L17" t="s">
        <v>22</v>
      </c>
    </row>
    <row r="18" spans="2:12" x14ac:dyDescent="0.3">
      <c r="G18" t="b">
        <f>OR(C11,D11)</f>
        <v>0</v>
      </c>
      <c r="L18" t="b">
        <f>OR(I11,J11)</f>
        <v>0</v>
      </c>
    </row>
    <row r="19" spans="2:12" x14ac:dyDescent="0.3">
      <c r="G19" t="b">
        <f>OR(C12,D12)</f>
        <v>1</v>
      </c>
      <c r="L19" t="b">
        <f t="shared" ref="L19:L21" si="7">OR(I12,J12)</f>
        <v>1</v>
      </c>
    </row>
    <row r="20" spans="2:12" x14ac:dyDescent="0.3">
      <c r="G20" t="b">
        <f>OR(C13,D13)</f>
        <v>1</v>
      </c>
      <c r="L20" t="b">
        <f t="shared" si="7"/>
        <v>1</v>
      </c>
    </row>
    <row r="21" spans="2:12" x14ac:dyDescent="0.3">
      <c r="G21" t="b">
        <f>OR(C14,D14)</f>
        <v>1</v>
      </c>
      <c r="L21" t="b">
        <f t="shared" si="7"/>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M60"/>
  <sheetViews>
    <sheetView workbookViewId="0">
      <selection activeCell="H19" sqref="H19"/>
    </sheetView>
  </sheetViews>
  <sheetFormatPr defaultRowHeight="14.4" x14ac:dyDescent="0.3"/>
  <cols>
    <col min="5" max="5" width="15.3984375" bestFit="1" customWidth="1"/>
    <col min="6" max="6" width="10.69921875" bestFit="1" customWidth="1"/>
  </cols>
  <sheetData>
    <row r="1" spans="2:13" x14ac:dyDescent="0.3">
      <c r="B1" s="4" t="s">
        <v>86</v>
      </c>
      <c r="C1" s="4"/>
    </row>
    <row r="3" spans="2:13" x14ac:dyDescent="0.3">
      <c r="B3" t="s">
        <v>34</v>
      </c>
      <c r="C3" t="s">
        <v>35</v>
      </c>
      <c r="D3" t="s">
        <v>36</v>
      </c>
      <c r="E3" t="s">
        <v>37</v>
      </c>
      <c r="F3" t="s">
        <v>38</v>
      </c>
      <c r="G3" t="s">
        <v>39</v>
      </c>
      <c r="J3" t="s">
        <v>52</v>
      </c>
      <c r="K3" s="4" t="s">
        <v>50</v>
      </c>
      <c r="L3" s="4" t="s">
        <v>51</v>
      </c>
    </row>
    <row r="4" spans="2:13" x14ac:dyDescent="0.3">
      <c r="B4" t="s">
        <v>40</v>
      </c>
      <c r="C4" t="s">
        <v>11</v>
      </c>
      <c r="D4" t="s">
        <v>47</v>
      </c>
      <c r="E4">
        <v>7</v>
      </c>
      <c r="F4">
        <f>IF(D4="Choco chip", 5," ")</f>
        <v>5</v>
      </c>
      <c r="G4">
        <f>E4*F4</f>
        <v>35</v>
      </c>
      <c r="J4" t="s">
        <v>40</v>
      </c>
      <c r="K4">
        <f>COUNTIF($B$4:$B$14, J4)</f>
        <v>3</v>
      </c>
      <c r="L4" s="7">
        <f>SUMIF($B$4:$B$14, J4, $G$4:$G$14)</f>
        <v>108</v>
      </c>
    </row>
    <row r="5" spans="2:13" x14ac:dyDescent="0.3">
      <c r="B5" t="s">
        <v>41</v>
      </c>
      <c r="C5" t="s">
        <v>12</v>
      </c>
      <c r="D5" t="s">
        <v>48</v>
      </c>
      <c r="E5">
        <v>2</v>
      </c>
      <c r="F5">
        <f>IF(D5="nutty butter", 4," ")</f>
        <v>4</v>
      </c>
      <c r="G5">
        <f t="shared" ref="G5:G14" si="0">E5*F5</f>
        <v>8</v>
      </c>
      <c r="J5" t="s">
        <v>42</v>
      </c>
      <c r="K5">
        <f>COUNTIF($B$4:$B$14, J5)</f>
        <v>1</v>
      </c>
      <c r="L5" s="7">
        <f>SUMIF($B$4:$B$14, J5, $G$4:$G$14)</f>
        <v>16</v>
      </c>
    </row>
    <row r="6" spans="2:13" x14ac:dyDescent="0.3">
      <c r="B6" t="s">
        <v>2</v>
      </c>
      <c r="C6" t="s">
        <v>44</v>
      </c>
      <c r="D6" t="s">
        <v>47</v>
      </c>
      <c r="E6">
        <v>3</v>
      </c>
      <c r="F6">
        <f t="shared" ref="F6:F14" si="1">IF(D6="Choco chip", 5," ")</f>
        <v>5</v>
      </c>
      <c r="G6">
        <f t="shared" si="0"/>
        <v>15</v>
      </c>
      <c r="J6" t="s">
        <v>41</v>
      </c>
      <c r="K6">
        <f t="shared" ref="K6:K8" si="2">COUNTIF($B$4:$B$14, J6)</f>
        <v>3</v>
      </c>
      <c r="L6" s="7">
        <f t="shared" ref="L6:L8" si="3">SUMIF($B$4:$B$14, J6, $G$4:$G$14)</f>
        <v>22</v>
      </c>
    </row>
    <row r="7" spans="2:13" x14ac:dyDescent="0.3">
      <c r="B7" t="s">
        <v>42</v>
      </c>
      <c r="C7" t="s">
        <v>45</v>
      </c>
      <c r="D7" t="s">
        <v>48</v>
      </c>
      <c r="E7">
        <v>4</v>
      </c>
      <c r="F7">
        <f>IF(D5="nutty butter", 4," ")</f>
        <v>4</v>
      </c>
      <c r="G7">
        <f t="shared" si="0"/>
        <v>16</v>
      </c>
      <c r="J7" t="s">
        <v>2</v>
      </c>
      <c r="K7">
        <f t="shared" si="2"/>
        <v>3</v>
      </c>
      <c r="L7" s="7">
        <f t="shared" si="3"/>
        <v>86</v>
      </c>
    </row>
    <row r="8" spans="2:13" x14ac:dyDescent="0.3">
      <c r="B8" t="s">
        <v>43</v>
      </c>
      <c r="C8" t="s">
        <v>12</v>
      </c>
      <c r="D8" t="s">
        <v>49</v>
      </c>
      <c r="E8">
        <v>5</v>
      </c>
      <c r="F8">
        <v>3.5</v>
      </c>
      <c r="G8">
        <f t="shared" si="0"/>
        <v>17.5</v>
      </c>
      <c r="J8" t="s">
        <v>43</v>
      </c>
      <c r="K8">
        <f t="shared" si="2"/>
        <v>1</v>
      </c>
      <c r="L8" s="7">
        <f t="shared" si="3"/>
        <v>17.5</v>
      </c>
    </row>
    <row r="9" spans="2:13" x14ac:dyDescent="0.3">
      <c r="B9" t="s">
        <v>40</v>
      </c>
      <c r="C9" t="s">
        <v>45</v>
      </c>
      <c r="D9" t="s">
        <v>48</v>
      </c>
      <c r="E9">
        <v>7</v>
      </c>
      <c r="F9">
        <v>4</v>
      </c>
      <c r="G9">
        <f t="shared" si="0"/>
        <v>28</v>
      </c>
    </row>
    <row r="10" spans="2:13" x14ac:dyDescent="0.3">
      <c r="B10" t="s">
        <v>2</v>
      </c>
      <c r="C10" t="s">
        <v>46</v>
      </c>
      <c r="D10" t="s">
        <v>49</v>
      </c>
      <c r="E10">
        <v>6</v>
      </c>
      <c r="F10">
        <v>3.5</v>
      </c>
      <c r="G10">
        <f t="shared" si="0"/>
        <v>21</v>
      </c>
    </row>
    <row r="11" spans="2:13" x14ac:dyDescent="0.3">
      <c r="B11" t="s">
        <v>41</v>
      </c>
      <c r="C11" t="s">
        <v>45</v>
      </c>
      <c r="D11" t="s">
        <v>47</v>
      </c>
      <c r="E11">
        <v>2</v>
      </c>
      <c r="F11">
        <f t="shared" si="1"/>
        <v>5</v>
      </c>
      <c r="G11">
        <f t="shared" si="0"/>
        <v>10</v>
      </c>
      <c r="J11" t="s">
        <v>53</v>
      </c>
    </row>
    <row r="12" spans="2:13" x14ac:dyDescent="0.3">
      <c r="B12" t="s">
        <v>41</v>
      </c>
      <c r="C12" t="s">
        <v>45</v>
      </c>
      <c r="D12" t="s">
        <v>48</v>
      </c>
      <c r="E12">
        <v>1</v>
      </c>
      <c r="F12">
        <v>4</v>
      </c>
      <c r="G12">
        <f t="shared" si="0"/>
        <v>4</v>
      </c>
      <c r="J12" t="s">
        <v>47</v>
      </c>
      <c r="L12" s="4">
        <f>SUMIF($D$4:$D$14, J12, $E$4:$E$14)</f>
        <v>31</v>
      </c>
      <c r="M12" t="s">
        <v>54</v>
      </c>
    </row>
    <row r="13" spans="2:13" x14ac:dyDescent="0.3">
      <c r="B13" t="s">
        <v>40</v>
      </c>
      <c r="C13" t="s">
        <v>11</v>
      </c>
      <c r="D13" t="s">
        <v>47</v>
      </c>
      <c r="E13">
        <v>9</v>
      </c>
      <c r="F13">
        <f t="shared" si="1"/>
        <v>5</v>
      </c>
      <c r="G13">
        <f t="shared" si="0"/>
        <v>45</v>
      </c>
      <c r="J13" t="s">
        <v>48</v>
      </c>
      <c r="L13">
        <f>SUMIF($D$4:$D$14, J13, $E$4:$E$14)</f>
        <v>14</v>
      </c>
    </row>
    <row r="14" spans="2:13" x14ac:dyDescent="0.3">
      <c r="B14" t="s">
        <v>2</v>
      </c>
      <c r="C14" t="s">
        <v>44</v>
      </c>
      <c r="D14" t="s">
        <v>47</v>
      </c>
      <c r="E14">
        <v>10</v>
      </c>
      <c r="F14">
        <f t="shared" si="1"/>
        <v>5</v>
      </c>
      <c r="G14">
        <f t="shared" si="0"/>
        <v>50</v>
      </c>
      <c r="J14" t="s">
        <v>49</v>
      </c>
      <c r="L14">
        <f>SUMIF($D$4:$D$14, J14, $E$4:$E$14)</f>
        <v>11</v>
      </c>
    </row>
    <row r="16" spans="2:13" x14ac:dyDescent="0.3">
      <c r="J16" t="s">
        <v>55</v>
      </c>
      <c r="L16" t="s">
        <v>56</v>
      </c>
    </row>
    <row r="17" spans="2:13" x14ac:dyDescent="0.3">
      <c r="J17" t="s">
        <v>40</v>
      </c>
    </row>
    <row r="18" spans="2:13" x14ac:dyDescent="0.3">
      <c r="B18" t="s">
        <v>57</v>
      </c>
      <c r="C18" t="s">
        <v>39</v>
      </c>
      <c r="J18" t="s">
        <v>41</v>
      </c>
    </row>
    <row r="19" spans="2:13" x14ac:dyDescent="0.3">
      <c r="B19" t="s">
        <v>58</v>
      </c>
      <c r="C19">
        <v>450</v>
      </c>
      <c r="E19" t="s">
        <v>64</v>
      </c>
      <c r="F19">
        <f>COUNTIF(C19:C25, "&gt;=400")</f>
        <v>4</v>
      </c>
      <c r="J19" t="s">
        <v>2</v>
      </c>
    </row>
    <row r="20" spans="2:13" x14ac:dyDescent="0.3">
      <c r="B20" t="s">
        <v>59</v>
      </c>
      <c r="C20">
        <v>400</v>
      </c>
      <c r="E20" t="s">
        <v>65</v>
      </c>
      <c r="F20">
        <f>SUMIF(C19:C25, "&gt;=400")</f>
        <v>1851</v>
      </c>
      <c r="J20" t="s">
        <v>42</v>
      </c>
    </row>
    <row r="21" spans="2:13" x14ac:dyDescent="0.3">
      <c r="B21" t="s">
        <v>60</v>
      </c>
      <c r="C21">
        <v>300</v>
      </c>
      <c r="J21" t="s">
        <v>43</v>
      </c>
    </row>
    <row r="22" spans="2:13" x14ac:dyDescent="0.3">
      <c r="B22" t="s">
        <v>13</v>
      </c>
      <c r="C22">
        <v>290</v>
      </c>
    </row>
    <row r="23" spans="2:13" x14ac:dyDescent="0.3">
      <c r="B23" t="s">
        <v>61</v>
      </c>
      <c r="C23">
        <v>401</v>
      </c>
    </row>
    <row r="24" spans="2:13" x14ac:dyDescent="0.3">
      <c r="B24" t="s">
        <v>62</v>
      </c>
      <c r="C24">
        <v>300</v>
      </c>
    </row>
    <row r="25" spans="2:13" x14ac:dyDescent="0.3">
      <c r="B25" t="s">
        <v>63</v>
      </c>
      <c r="C25">
        <v>600</v>
      </c>
    </row>
    <row r="28" spans="2:13" x14ac:dyDescent="0.3">
      <c r="B28" t="s">
        <v>66</v>
      </c>
      <c r="C28" t="s">
        <v>67</v>
      </c>
      <c r="D28" t="s">
        <v>68</v>
      </c>
      <c r="E28" t="s">
        <v>69</v>
      </c>
      <c r="F28" t="s">
        <v>70</v>
      </c>
      <c r="G28" t="s">
        <v>71</v>
      </c>
      <c r="J28" t="s">
        <v>72</v>
      </c>
      <c r="M28">
        <f>AVERAGEIF(G29:G36, "&lt;&gt;9999")</f>
        <v>2.4</v>
      </c>
    </row>
    <row r="29" spans="2:13" x14ac:dyDescent="0.3">
      <c r="B29">
        <v>2017</v>
      </c>
      <c r="C29">
        <v>1</v>
      </c>
      <c r="D29">
        <v>1</v>
      </c>
      <c r="E29">
        <v>46</v>
      </c>
      <c r="F29">
        <v>13</v>
      </c>
      <c r="G29">
        <v>0.4</v>
      </c>
      <c r="J29" t="s">
        <v>73</v>
      </c>
      <c r="M29">
        <f>MAX(IF(G29:G36&lt;&gt;9999,G29:G36, ""))</f>
        <v>9999</v>
      </c>
    </row>
    <row r="30" spans="2:13" x14ac:dyDescent="0.3">
      <c r="B30">
        <v>2017</v>
      </c>
      <c r="C30">
        <v>1</v>
      </c>
      <c r="D30">
        <v>2</v>
      </c>
      <c r="E30">
        <v>39</v>
      </c>
      <c r="F30">
        <v>10</v>
      </c>
      <c r="G30">
        <v>0.3</v>
      </c>
      <c r="J30" t="s">
        <v>74</v>
      </c>
      <c r="M30">
        <f>COUNTIF(G29:G36,9999)</f>
        <v>2</v>
      </c>
    </row>
    <row r="31" spans="2:13" x14ac:dyDescent="0.3">
      <c r="B31">
        <v>2017</v>
      </c>
      <c r="C31">
        <v>1</v>
      </c>
      <c r="D31">
        <v>3</v>
      </c>
      <c r="E31">
        <v>22</v>
      </c>
      <c r="F31">
        <v>13</v>
      </c>
      <c r="G31">
        <v>0.7</v>
      </c>
    </row>
    <row r="32" spans="2:13" x14ac:dyDescent="0.3">
      <c r="B32">
        <v>2017</v>
      </c>
      <c r="C32">
        <v>1</v>
      </c>
      <c r="D32">
        <v>4</v>
      </c>
      <c r="E32">
        <v>37</v>
      </c>
      <c r="F32">
        <v>20</v>
      </c>
      <c r="G32">
        <v>0.8</v>
      </c>
    </row>
    <row r="33" spans="2:7" x14ac:dyDescent="0.3">
      <c r="B33">
        <v>2017</v>
      </c>
      <c r="C33">
        <v>1</v>
      </c>
      <c r="D33">
        <v>5</v>
      </c>
      <c r="E33">
        <v>42</v>
      </c>
      <c r="F33">
        <v>20</v>
      </c>
      <c r="G33">
        <v>9999</v>
      </c>
    </row>
    <row r="34" spans="2:7" x14ac:dyDescent="0.3">
      <c r="B34">
        <v>2017</v>
      </c>
      <c r="C34">
        <v>1</v>
      </c>
      <c r="D34">
        <v>6</v>
      </c>
      <c r="E34">
        <v>41</v>
      </c>
      <c r="F34">
        <v>18</v>
      </c>
      <c r="G34">
        <v>1.4</v>
      </c>
    </row>
    <row r="35" spans="2:7" x14ac:dyDescent="0.3">
      <c r="B35">
        <v>2017</v>
      </c>
      <c r="C35">
        <v>1</v>
      </c>
      <c r="D35">
        <v>7</v>
      </c>
      <c r="E35">
        <v>23</v>
      </c>
      <c r="F35">
        <v>19</v>
      </c>
      <c r="G35">
        <v>9999</v>
      </c>
    </row>
    <row r="36" spans="2:7" x14ac:dyDescent="0.3">
      <c r="B36">
        <v>2017</v>
      </c>
      <c r="C36">
        <v>1</v>
      </c>
      <c r="D36">
        <v>8</v>
      </c>
      <c r="E36">
        <v>35</v>
      </c>
      <c r="F36">
        <v>11</v>
      </c>
      <c r="G36">
        <v>10.8</v>
      </c>
    </row>
    <row r="39" spans="2:7" x14ac:dyDescent="0.3">
      <c r="B39" t="s">
        <v>85</v>
      </c>
      <c r="C39" t="s">
        <v>68</v>
      </c>
      <c r="D39" t="s">
        <v>75</v>
      </c>
      <c r="F39" t="s">
        <v>83</v>
      </c>
      <c r="G39" t="s">
        <v>78</v>
      </c>
    </row>
    <row r="40" spans="2:7" x14ac:dyDescent="0.3">
      <c r="C40" t="s">
        <v>76</v>
      </c>
      <c r="D40">
        <v>3</v>
      </c>
      <c r="F40" t="s">
        <v>84</v>
      </c>
      <c r="G40">
        <f>SUMIF(C40:C60, G39, D40:D60)</f>
        <v>10</v>
      </c>
    </row>
    <row r="41" spans="2:7" x14ac:dyDescent="0.3">
      <c r="C41" t="s">
        <v>77</v>
      </c>
      <c r="D41">
        <v>8</v>
      </c>
    </row>
    <row r="42" spans="2:7" x14ac:dyDescent="0.3">
      <c r="C42" t="s">
        <v>78</v>
      </c>
      <c r="D42" s="8">
        <v>1</v>
      </c>
    </row>
    <row r="43" spans="2:7" x14ac:dyDescent="0.3">
      <c r="C43" t="s">
        <v>79</v>
      </c>
      <c r="D43">
        <v>10</v>
      </c>
    </row>
    <row r="44" spans="2:7" x14ac:dyDescent="0.3">
      <c r="C44" t="s">
        <v>80</v>
      </c>
      <c r="D44">
        <v>2</v>
      </c>
    </row>
    <row r="45" spans="2:7" x14ac:dyDescent="0.3">
      <c r="C45" t="s">
        <v>81</v>
      </c>
      <c r="D45">
        <v>6</v>
      </c>
    </row>
    <row r="46" spans="2:7" x14ac:dyDescent="0.3">
      <c r="C46" t="s">
        <v>82</v>
      </c>
      <c r="D46">
        <v>8</v>
      </c>
    </row>
    <row r="47" spans="2:7" x14ac:dyDescent="0.3">
      <c r="C47" t="s">
        <v>76</v>
      </c>
      <c r="D47">
        <v>4</v>
      </c>
    </row>
    <row r="48" spans="2:7" x14ac:dyDescent="0.3">
      <c r="C48" t="s">
        <v>77</v>
      </c>
      <c r="D48">
        <v>6</v>
      </c>
    </row>
    <row r="49" spans="3:4" x14ac:dyDescent="0.3">
      <c r="C49" t="s">
        <v>78</v>
      </c>
      <c r="D49" s="8">
        <v>3</v>
      </c>
    </row>
    <row r="50" spans="3:4" x14ac:dyDescent="0.3">
      <c r="C50" t="s">
        <v>79</v>
      </c>
      <c r="D50">
        <v>6</v>
      </c>
    </row>
    <row r="51" spans="3:4" x14ac:dyDescent="0.3">
      <c r="C51" t="s">
        <v>80</v>
      </c>
      <c r="D51">
        <v>8</v>
      </c>
    </row>
    <row r="52" spans="3:4" x14ac:dyDescent="0.3">
      <c r="C52" t="s">
        <v>81</v>
      </c>
      <c r="D52">
        <v>4</v>
      </c>
    </row>
    <row r="53" spans="3:4" x14ac:dyDescent="0.3">
      <c r="C53" t="s">
        <v>82</v>
      </c>
      <c r="D53">
        <v>3</v>
      </c>
    </row>
    <row r="54" spans="3:4" x14ac:dyDescent="0.3">
      <c r="C54" t="s">
        <v>76</v>
      </c>
      <c r="D54">
        <v>4</v>
      </c>
    </row>
    <row r="55" spans="3:4" x14ac:dyDescent="0.3">
      <c r="C55" t="s">
        <v>77</v>
      </c>
      <c r="D55">
        <v>6</v>
      </c>
    </row>
    <row r="56" spans="3:4" x14ac:dyDescent="0.3">
      <c r="C56" t="s">
        <v>78</v>
      </c>
      <c r="D56" s="8">
        <v>6</v>
      </c>
    </row>
    <row r="57" spans="3:4" x14ac:dyDescent="0.3">
      <c r="C57" t="s">
        <v>79</v>
      </c>
      <c r="D57">
        <v>2</v>
      </c>
    </row>
    <row r="58" spans="3:4" x14ac:dyDescent="0.3">
      <c r="C58" t="s">
        <v>80</v>
      </c>
      <c r="D58">
        <v>4</v>
      </c>
    </row>
    <row r="59" spans="3:4" x14ac:dyDescent="0.3">
      <c r="C59" t="s">
        <v>81</v>
      </c>
      <c r="D59">
        <v>7</v>
      </c>
    </row>
    <row r="60" spans="3:4" x14ac:dyDescent="0.3">
      <c r="C60" t="s">
        <v>82</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18"/>
  <sheetViews>
    <sheetView workbookViewId="0">
      <selection activeCell="L6" sqref="L6:O13"/>
    </sheetView>
  </sheetViews>
  <sheetFormatPr defaultRowHeight="14.4" x14ac:dyDescent="0.3"/>
  <sheetData>
    <row r="1" spans="1:16" x14ac:dyDescent="0.3">
      <c r="B1" s="4" t="s">
        <v>108</v>
      </c>
      <c r="C1" s="4"/>
      <c r="D1" s="4"/>
      <c r="E1" s="4"/>
    </row>
    <row r="3" spans="1:16" x14ac:dyDescent="0.3">
      <c r="A3" t="s">
        <v>10</v>
      </c>
      <c r="G3" t="s">
        <v>9</v>
      </c>
      <c r="L3" t="s">
        <v>8</v>
      </c>
    </row>
    <row r="4" spans="1:16" x14ac:dyDescent="0.3">
      <c r="B4" t="s">
        <v>88</v>
      </c>
      <c r="H4" t="s">
        <v>96</v>
      </c>
    </row>
    <row r="5" spans="1:16" x14ac:dyDescent="0.3">
      <c r="H5" t="s">
        <v>97</v>
      </c>
      <c r="L5" t="s">
        <v>87</v>
      </c>
    </row>
    <row r="6" spans="1:16" x14ac:dyDescent="0.3">
      <c r="B6" t="s">
        <v>89</v>
      </c>
      <c r="C6" s="4">
        <f>LEN(B4)</f>
        <v>49</v>
      </c>
      <c r="L6" t="s">
        <v>101</v>
      </c>
      <c r="N6" s="4" t="str">
        <f>LEFT(L6, FIND(",", L6)-1)</f>
        <v>Amy</v>
      </c>
      <c r="O6" s="4" t="str">
        <f>RIGHT(L6, LEN(L6)-FIND(",", L6))</f>
        <v xml:space="preserve"> Ajohn</v>
      </c>
    </row>
    <row r="7" spans="1:16" x14ac:dyDescent="0.3">
      <c r="B7" t="s">
        <v>90</v>
      </c>
      <c r="C7" s="4" t="str">
        <f>LEFT(B4, 20)</f>
        <v>"fjalkjf  klajfklsda</v>
      </c>
      <c r="H7" t="s">
        <v>98</v>
      </c>
      <c r="I7" t="str">
        <f>UPPER(H4)</f>
        <v>SOME NAME</v>
      </c>
      <c r="L7" t="s">
        <v>102</v>
      </c>
      <c r="N7" t="str">
        <f t="shared" ref="N7:N13" si="0">LEFT(L7, FIND(",", L7)-1)</f>
        <v>Ben</v>
      </c>
      <c r="O7" t="str">
        <f t="shared" ref="O7:O13" si="1">RIGHT(L7, LEN(L7)-FIND(",", L7))</f>
        <v xml:space="preserve"> Bjohn</v>
      </c>
    </row>
    <row r="8" spans="1:16" x14ac:dyDescent="0.3">
      <c r="B8" t="s">
        <v>91</v>
      </c>
      <c r="C8" s="4" t="str">
        <f>MID(B4, 20, 6)</f>
        <v>ajlkfj</v>
      </c>
      <c r="H8" t="s">
        <v>99</v>
      </c>
      <c r="I8" t="str">
        <f>LOWER(H5)</f>
        <v>some name</v>
      </c>
      <c r="L8" t="s">
        <v>103</v>
      </c>
      <c r="N8" t="str">
        <f t="shared" si="0"/>
        <v>Cen</v>
      </c>
      <c r="O8" t="str">
        <f t="shared" si="1"/>
        <v xml:space="preserve"> Cjodk</v>
      </c>
    </row>
    <row r="9" spans="1:16" x14ac:dyDescent="0.3">
      <c r="B9" t="s">
        <v>92</v>
      </c>
      <c r="C9" s="4" t="str">
        <f>RIGHT(B4, 2)</f>
        <v>k"</v>
      </c>
      <c r="H9" t="s">
        <v>100</v>
      </c>
      <c r="I9" t="str">
        <f>PROPER(H5)</f>
        <v>Some Name</v>
      </c>
      <c r="L9" t="s">
        <v>104</v>
      </c>
      <c r="N9" t="str">
        <f t="shared" si="0"/>
        <v>Der</v>
      </c>
      <c r="O9" t="str">
        <f t="shared" si="1"/>
        <v>jekjrw</v>
      </c>
    </row>
    <row r="10" spans="1:16" x14ac:dyDescent="0.3">
      <c r="B10" t="s">
        <v>94</v>
      </c>
      <c r="C10" s="4">
        <f>FIND(D10, B4)</f>
        <v>13</v>
      </c>
      <c r="D10" t="s">
        <v>93</v>
      </c>
      <c r="L10" t="s">
        <v>105</v>
      </c>
      <c r="N10" t="str">
        <f t="shared" si="0"/>
        <v>Egdsfds</v>
      </c>
      <c r="O10" t="str">
        <f t="shared" si="1"/>
        <v xml:space="preserve"> Eggjdskl</v>
      </c>
    </row>
    <row r="11" spans="1:16" x14ac:dyDescent="0.3">
      <c r="B11" t="s">
        <v>95</v>
      </c>
      <c r="C11" s="4">
        <f>SEARCH(D10, B4)</f>
        <v>13</v>
      </c>
      <c r="L11" t="s">
        <v>106</v>
      </c>
      <c r="N11" t="str">
        <f t="shared" si="0"/>
        <v>Ferewr</v>
      </c>
      <c r="O11" t="str">
        <f t="shared" si="1"/>
        <v>Ferjwklr</v>
      </c>
    </row>
    <row r="12" spans="1:16" x14ac:dyDescent="0.3">
      <c r="L12" t="s">
        <v>107</v>
      </c>
      <c r="N12" t="str">
        <f t="shared" si="0"/>
        <v>Jane</v>
      </c>
      <c r="O12" t="str">
        <f t="shared" si="1"/>
        <v xml:space="preserve"> john</v>
      </c>
    </row>
    <row r="13" spans="1:16" x14ac:dyDescent="0.3">
      <c r="L13" t="s">
        <v>109</v>
      </c>
      <c r="N13" t="str">
        <f t="shared" si="0"/>
        <v>New</v>
      </c>
      <c r="O13" t="str">
        <f t="shared" si="1"/>
        <v xml:space="preserve"> Student</v>
      </c>
      <c r="P13" t="s">
        <v>110</v>
      </c>
    </row>
    <row r="15" spans="1:16" x14ac:dyDescent="0.3">
      <c r="A15" t="s">
        <v>111</v>
      </c>
      <c r="B15" t="s">
        <v>112</v>
      </c>
      <c r="C15" t="str">
        <f>MID(B15, FIND("-", B15)+1, FIND("-",B15, FIND("-",B15)+1)-FIND("-",B15) -1)</f>
        <v>45A</v>
      </c>
    </row>
    <row r="17" spans="3:3" x14ac:dyDescent="0.3">
      <c r="C17">
        <f>FIND("-", B15)+1</f>
        <v>4</v>
      </c>
    </row>
    <row r="18" spans="3:3" x14ac:dyDescent="0.3">
      <c r="C18">
        <f xml:space="preserve"> FIND("-",B15, FIND("-",B15)+1)-FIND("-",B15) -1</f>
        <v>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R21"/>
  <sheetViews>
    <sheetView workbookViewId="0">
      <selection activeCell="F23" sqref="F23"/>
    </sheetView>
  </sheetViews>
  <sheetFormatPr defaultRowHeight="14.4" x14ac:dyDescent="0.3"/>
  <sheetData>
    <row r="2" spans="1:18" x14ac:dyDescent="0.3">
      <c r="B2" s="4" t="s">
        <v>131</v>
      </c>
      <c r="C2" s="4"/>
      <c r="D2" s="4"/>
      <c r="E2" s="4"/>
      <c r="F2" s="4"/>
    </row>
    <row r="3" spans="1:18" x14ac:dyDescent="0.3">
      <c r="L3" t="s">
        <v>130</v>
      </c>
      <c r="R3" s="4" t="s">
        <v>129</v>
      </c>
    </row>
    <row r="4" spans="1:18" x14ac:dyDescent="0.3">
      <c r="A4" t="s">
        <v>85</v>
      </c>
      <c r="D4" s="4" t="s">
        <v>117</v>
      </c>
      <c r="F4" s="4" t="s">
        <v>118</v>
      </c>
      <c r="G4" s="4" t="s">
        <v>119</v>
      </c>
      <c r="H4" s="4" t="s">
        <v>120</v>
      </c>
      <c r="M4" t="s">
        <v>101</v>
      </c>
      <c r="O4" s="4" t="str">
        <f>LEFT(M4, FIND(",", M4)-1)</f>
        <v>Amy</v>
      </c>
      <c r="P4" s="4" t="str">
        <f>RIGHT(M4, LEN(M4)-FIND(",", M4))</f>
        <v xml:space="preserve"> Ajohn</v>
      </c>
      <c r="R4" t="str">
        <f>CONCATENATE(O4,".",P4)&amp;"@gmail.com"</f>
        <v>Amy. Ajohn@gmail.com</v>
      </c>
    </row>
    <row r="5" spans="1:18" x14ac:dyDescent="0.3">
      <c r="B5" t="s">
        <v>113</v>
      </c>
      <c r="D5" t="str">
        <f>CONCATENATE(B5,B6,B7,B8,B9)</f>
        <v>HELLO</v>
      </c>
      <c r="F5" t="e">
        <f ca="1">concat(B5:B9)</f>
        <v>#NAME?</v>
      </c>
      <c r="H5" t="str">
        <f>D5&amp;" "&amp; "There"</f>
        <v>HELLO There</v>
      </c>
      <c r="M5" t="s">
        <v>102</v>
      </c>
      <c r="O5" t="str">
        <f t="shared" ref="O5:O11" si="0">LEFT(M5, FIND(",", M5)-1)</f>
        <v>Ben</v>
      </c>
      <c r="P5" t="str">
        <f t="shared" ref="P5:P11" si="1">RIGHT(M5, LEN(M5)-FIND(",", M5))</f>
        <v xml:space="preserve"> Bjohn</v>
      </c>
      <c r="R5" t="str">
        <f>CONCATENATE(O5,".",P5)&amp;"@gmail.com"</f>
        <v>Ben. Bjohn@gmail.com</v>
      </c>
    </row>
    <row r="6" spans="1:18" x14ac:dyDescent="0.3">
      <c r="B6" t="s">
        <v>114</v>
      </c>
      <c r="M6" t="s">
        <v>103</v>
      </c>
      <c r="O6" t="str">
        <f t="shared" si="0"/>
        <v>Cen</v>
      </c>
      <c r="P6" t="str">
        <f t="shared" si="1"/>
        <v xml:space="preserve"> Cjodk</v>
      </c>
      <c r="R6" t="str">
        <f>CONCATENATE(O6,".",P6)&amp;"@gmail.com"</f>
        <v>Cen. Cjodk@gmail.com</v>
      </c>
    </row>
    <row r="7" spans="1:18" x14ac:dyDescent="0.3">
      <c r="B7" t="s">
        <v>115</v>
      </c>
      <c r="M7" t="s">
        <v>104</v>
      </c>
      <c r="O7" t="str">
        <f t="shared" si="0"/>
        <v>Der</v>
      </c>
      <c r="P7" t="str">
        <f t="shared" si="1"/>
        <v>jekjrw</v>
      </c>
      <c r="R7" t="str">
        <f>CONCATENATE(O7,".",P7)&amp;"@gmail.com"</f>
        <v>Der.jekjrw@gmail.com</v>
      </c>
    </row>
    <row r="8" spans="1:18" x14ac:dyDescent="0.3">
      <c r="B8" t="s">
        <v>115</v>
      </c>
      <c r="M8" t="s">
        <v>105</v>
      </c>
      <c r="O8" t="str">
        <f t="shared" si="0"/>
        <v>Egdsfds</v>
      </c>
      <c r="P8" t="str">
        <f t="shared" si="1"/>
        <v xml:space="preserve"> Eggjdskl</v>
      </c>
      <c r="R8" t="str">
        <f>CONCATENATE(O8,".",P8)&amp;"@gmail.com"</f>
        <v>Egdsfds. Eggjdskl@gmail.com</v>
      </c>
    </row>
    <row r="9" spans="1:18" x14ac:dyDescent="0.3">
      <c r="B9" t="s">
        <v>116</v>
      </c>
      <c r="M9" t="s">
        <v>106</v>
      </c>
      <c r="O9" t="str">
        <f t="shared" si="0"/>
        <v>Ferewr</v>
      </c>
      <c r="P9" t="str">
        <f t="shared" si="1"/>
        <v>Ferjwklr</v>
      </c>
      <c r="R9" t="str">
        <f>CONCATENATE(O9,".",P9)&amp;"@gmail.com"</f>
        <v>Ferewr.Ferjwklr@gmail.com</v>
      </c>
    </row>
    <row r="10" spans="1:18" x14ac:dyDescent="0.3">
      <c r="M10" t="s">
        <v>107</v>
      </c>
      <c r="O10" t="str">
        <f t="shared" si="0"/>
        <v>Jane</v>
      </c>
      <c r="P10" t="str">
        <f t="shared" si="1"/>
        <v xml:space="preserve"> john</v>
      </c>
      <c r="R10" t="str">
        <f>CONCATENATE(O10,".",P10)&amp;"@gmail.com"</f>
        <v>Jane. john@gmail.com</v>
      </c>
    </row>
    <row r="11" spans="1:18" x14ac:dyDescent="0.3">
      <c r="A11" t="s">
        <v>85</v>
      </c>
      <c r="B11" t="s">
        <v>121</v>
      </c>
      <c r="C11" t="s">
        <v>121</v>
      </c>
      <c r="D11" t="s">
        <v>121</v>
      </c>
      <c r="H11" t="str">
        <f>B11:B14&amp;C11:C14&amp;D11:D14</f>
        <v>FFF</v>
      </c>
      <c r="M11" t="s">
        <v>109</v>
      </c>
      <c r="O11" t="str">
        <f t="shared" si="0"/>
        <v>New</v>
      </c>
      <c r="P11" t="str">
        <f t="shared" si="1"/>
        <v xml:space="preserve"> Student</v>
      </c>
      <c r="R11" t="str">
        <f>CONCATENATE(O11,".",P11)&amp;"@gmail.com"</f>
        <v>New. Student@gmail.com</v>
      </c>
    </row>
    <row r="12" spans="1:18" x14ac:dyDescent="0.3">
      <c r="B12" t="s">
        <v>121</v>
      </c>
      <c r="C12" t="s">
        <v>122</v>
      </c>
      <c r="D12" t="s">
        <v>114</v>
      </c>
      <c r="H12" t="str">
        <f t="shared" ref="H12:H14" si="2">B12:B15&amp;C12:C15&amp;D12:D15</f>
        <v>FIE</v>
      </c>
    </row>
    <row r="13" spans="1:18" x14ac:dyDescent="0.3">
      <c r="B13" t="s">
        <v>121</v>
      </c>
      <c r="C13" t="s">
        <v>116</v>
      </c>
      <c r="D13" t="s">
        <v>114</v>
      </c>
      <c r="H13" t="str">
        <f t="shared" si="2"/>
        <v>FOE</v>
      </c>
    </row>
    <row r="14" spans="1:18" x14ac:dyDescent="0.3">
      <c r="B14" t="s">
        <v>121</v>
      </c>
      <c r="C14" t="s">
        <v>123</v>
      </c>
      <c r="D14" t="s">
        <v>123</v>
      </c>
      <c r="H14" t="str">
        <f t="shared" si="2"/>
        <v>FMM</v>
      </c>
    </row>
    <row r="16" spans="1:18" x14ac:dyDescent="0.3">
      <c r="H16" t="s">
        <v>124</v>
      </c>
    </row>
    <row r="17" spans="1:8" x14ac:dyDescent="0.3">
      <c r="A17" t="s">
        <v>85</v>
      </c>
      <c r="B17" t="s">
        <v>125</v>
      </c>
      <c r="H17" s="4" t="str">
        <f>TRIM(B17)</f>
        <v>Hello my name is Charlie!</v>
      </c>
    </row>
    <row r="19" spans="1:8" x14ac:dyDescent="0.3">
      <c r="A19" t="s">
        <v>85</v>
      </c>
      <c r="B19" t="s">
        <v>126</v>
      </c>
      <c r="H19" t="s">
        <v>128</v>
      </c>
    </row>
    <row r="20" spans="1:8" x14ac:dyDescent="0.3">
      <c r="B20" t="s">
        <v>127</v>
      </c>
      <c r="H20" t="b">
        <f>EXACT(B19,B20)</f>
        <v>0</v>
      </c>
    </row>
    <row r="21" spans="1:8" x14ac:dyDescent="0.3">
      <c r="H21" t="b">
        <f>EXACT(B19,D5)</f>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O29"/>
  <sheetViews>
    <sheetView workbookViewId="0">
      <selection activeCell="D2" sqref="D2"/>
    </sheetView>
  </sheetViews>
  <sheetFormatPr defaultRowHeight="14.4" x14ac:dyDescent="0.3"/>
  <cols>
    <col min="2" max="2" width="13.69921875" bestFit="1" customWidth="1"/>
    <col min="3" max="3" width="11.09765625" bestFit="1" customWidth="1"/>
    <col min="7" max="7" width="11.09765625" bestFit="1" customWidth="1"/>
    <col min="9" max="9" width="14" bestFit="1" customWidth="1"/>
    <col min="10" max="10" width="11.09765625" bestFit="1" customWidth="1"/>
  </cols>
  <sheetData>
    <row r="1" spans="2:15" x14ac:dyDescent="0.3">
      <c r="B1" s="4" t="s">
        <v>149</v>
      </c>
    </row>
    <row r="3" spans="2:15" x14ac:dyDescent="0.3">
      <c r="B3" t="s">
        <v>132</v>
      </c>
    </row>
    <row r="4" spans="2:15" x14ac:dyDescent="0.3">
      <c r="M4" s="4" t="s">
        <v>133</v>
      </c>
      <c r="N4" s="4" t="s">
        <v>136</v>
      </c>
      <c r="O4" s="4" t="s">
        <v>139</v>
      </c>
    </row>
    <row r="5" spans="2:15" x14ac:dyDescent="0.3">
      <c r="M5" s="4"/>
      <c r="N5" s="4"/>
      <c r="O5" s="4"/>
    </row>
    <row r="6" spans="2:15" x14ac:dyDescent="0.3">
      <c r="M6" s="4" t="s">
        <v>134</v>
      </c>
      <c r="N6" s="4" t="s">
        <v>137</v>
      </c>
      <c r="O6" s="4"/>
    </row>
    <row r="7" spans="2:15" x14ac:dyDescent="0.3">
      <c r="M7" s="4"/>
      <c r="N7" s="4"/>
      <c r="O7" s="4"/>
    </row>
    <row r="8" spans="2:15" x14ac:dyDescent="0.3">
      <c r="M8" s="4" t="s">
        <v>135</v>
      </c>
      <c r="N8" s="4" t="s">
        <v>138</v>
      </c>
      <c r="O8" s="4"/>
    </row>
    <row r="17" spans="2:10" x14ac:dyDescent="0.3">
      <c r="B17" t="s">
        <v>144</v>
      </c>
      <c r="F17" t="s">
        <v>145</v>
      </c>
      <c r="I17" t="s">
        <v>147</v>
      </c>
    </row>
    <row r="18" spans="2:10" x14ac:dyDescent="0.3">
      <c r="B18" s="4" t="s">
        <v>133</v>
      </c>
      <c r="C18" s="10">
        <f>PMT(0.05/12, 15*12, 20000)</f>
        <v>-158.15872534830891</v>
      </c>
      <c r="F18" s="4" t="s">
        <v>134</v>
      </c>
      <c r="G18" s="10">
        <f>FV(0.02, 10, , -5000)</f>
        <v>6094.9720999737856</v>
      </c>
      <c r="I18" s="4" t="s">
        <v>135</v>
      </c>
      <c r="J18" s="10">
        <f>PV(0.035/12, 12*5, -200, 20000)</f>
        <v>-5799.4198052078345</v>
      </c>
    </row>
    <row r="19" spans="2:10" x14ac:dyDescent="0.3">
      <c r="B19" t="s">
        <v>140</v>
      </c>
      <c r="C19" s="10">
        <f>12*15*-C18</f>
        <v>28468.570562695604</v>
      </c>
      <c r="F19" t="s">
        <v>146</v>
      </c>
      <c r="G19" s="10">
        <f>G18-5000</f>
        <v>1094.9720999737856</v>
      </c>
      <c r="I19" t="s">
        <v>148</v>
      </c>
      <c r="J19" s="10">
        <f>PMT(0.035/12, 12*5, J18, 20000)</f>
        <v>-199.99999999999969</v>
      </c>
    </row>
    <row r="20" spans="2:10" x14ac:dyDescent="0.3">
      <c r="B20" t="s">
        <v>141</v>
      </c>
      <c r="C20" s="10">
        <f>C19-20000</f>
        <v>8468.5705626956042</v>
      </c>
    </row>
    <row r="22" spans="2:10" x14ac:dyDescent="0.3">
      <c r="C22" s="10"/>
    </row>
    <row r="29" spans="2:10" x14ac:dyDescent="0.3">
      <c r="B29" s="4" t="s">
        <v>142</v>
      </c>
      <c r="C29" t="s">
        <v>143</v>
      </c>
      <c r="G29" s="10">
        <f>PMT(0.03/12, 12*5, 0, -5000)</f>
        <v>77.343453320315689</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T25"/>
  <sheetViews>
    <sheetView workbookViewId="0">
      <selection activeCell="G8" sqref="G8"/>
    </sheetView>
  </sheetViews>
  <sheetFormatPr defaultRowHeight="14.4" x14ac:dyDescent="0.3"/>
  <sheetData>
    <row r="1" spans="2:20" x14ac:dyDescent="0.3">
      <c r="B1" s="13" t="s">
        <v>166</v>
      </c>
      <c r="C1" s="13"/>
      <c r="D1" s="13"/>
      <c r="E1" s="13"/>
      <c r="F1" s="13"/>
      <c r="G1" s="13"/>
      <c r="H1" s="13"/>
      <c r="I1" s="13"/>
      <c r="J1" s="13"/>
    </row>
    <row r="2" spans="2:20" x14ac:dyDescent="0.3">
      <c r="B2" s="13" t="s">
        <v>167</v>
      </c>
      <c r="C2" s="13"/>
      <c r="D2" s="13"/>
      <c r="E2" s="13"/>
      <c r="F2" s="13"/>
      <c r="G2" s="13"/>
      <c r="H2" s="13"/>
      <c r="I2" s="13"/>
      <c r="J2" s="13"/>
    </row>
    <row r="3" spans="2:20" x14ac:dyDescent="0.3">
      <c r="J3" t="s">
        <v>130</v>
      </c>
      <c r="K3" s="12"/>
      <c r="L3" s="12">
        <v>6</v>
      </c>
      <c r="M3" s="12">
        <v>7</v>
      </c>
      <c r="N3" s="12">
        <v>8</v>
      </c>
      <c r="O3" s="12">
        <v>9</v>
      </c>
      <c r="P3" s="12">
        <v>10</v>
      </c>
    </row>
    <row r="4" spans="2:20" x14ac:dyDescent="0.3">
      <c r="B4" s="4" t="s">
        <v>85</v>
      </c>
      <c r="C4">
        <v>1</v>
      </c>
      <c r="D4">
        <v>2</v>
      </c>
      <c r="E4">
        <v>3</v>
      </c>
      <c r="K4" s="12">
        <v>1</v>
      </c>
      <c r="L4" s="12">
        <f>$K$4:$K$8*$L$3:$P$3</f>
        <v>6</v>
      </c>
      <c r="M4" s="12">
        <f t="shared" ref="M4:P4" si="0">$K$4:$K$8*$L$3:$P$3</f>
        <v>7</v>
      </c>
      <c r="N4" s="12">
        <f t="shared" si="0"/>
        <v>8</v>
      </c>
      <c r="O4" s="12">
        <f t="shared" si="0"/>
        <v>9</v>
      </c>
      <c r="P4" s="12">
        <f t="shared" si="0"/>
        <v>10</v>
      </c>
      <c r="Q4" t="s">
        <v>157</v>
      </c>
    </row>
    <row r="5" spans="2:20" x14ac:dyDescent="0.3">
      <c r="C5">
        <v>4</v>
      </c>
      <c r="D5">
        <v>5</v>
      </c>
      <c r="E5">
        <v>6</v>
      </c>
      <c r="K5" s="12">
        <v>2</v>
      </c>
      <c r="L5" s="12">
        <f t="shared" ref="L5:P8" si="1">$K$4:$K$8*$L$3:$P$3</f>
        <v>12</v>
      </c>
      <c r="M5" s="12">
        <f t="shared" si="1"/>
        <v>14</v>
      </c>
      <c r="N5" s="12">
        <f t="shared" si="1"/>
        <v>16</v>
      </c>
      <c r="O5" s="12">
        <f t="shared" si="1"/>
        <v>18</v>
      </c>
      <c r="P5" s="12">
        <f t="shared" si="1"/>
        <v>20</v>
      </c>
    </row>
    <row r="6" spans="2:20" x14ac:dyDescent="0.3">
      <c r="K6" s="12">
        <v>3</v>
      </c>
      <c r="L6" s="12">
        <f t="shared" si="1"/>
        <v>18</v>
      </c>
      <c r="M6" s="12">
        <f t="shared" si="1"/>
        <v>21</v>
      </c>
      <c r="N6" s="12">
        <f t="shared" si="1"/>
        <v>24</v>
      </c>
      <c r="O6" s="12">
        <f t="shared" si="1"/>
        <v>27</v>
      </c>
      <c r="P6" s="12">
        <f t="shared" si="1"/>
        <v>30</v>
      </c>
    </row>
    <row r="7" spans="2:20" x14ac:dyDescent="0.3">
      <c r="K7" s="12">
        <v>4</v>
      </c>
      <c r="L7" s="12">
        <f t="shared" si="1"/>
        <v>24</v>
      </c>
      <c r="M7" s="12">
        <f t="shared" si="1"/>
        <v>28</v>
      </c>
      <c r="N7" s="12">
        <f t="shared" si="1"/>
        <v>32</v>
      </c>
      <c r="O7" s="12">
        <f t="shared" si="1"/>
        <v>36</v>
      </c>
      <c r="P7" s="12">
        <f t="shared" si="1"/>
        <v>40</v>
      </c>
    </row>
    <row r="8" spans="2:20" x14ac:dyDescent="0.3">
      <c r="C8">
        <f t="array" ref="C8:E9">{1,2,3;4,5,6}</f>
        <v>1</v>
      </c>
      <c r="D8">
        <v>2</v>
      </c>
      <c r="E8">
        <v>3</v>
      </c>
      <c r="F8" s="4" t="s">
        <v>150</v>
      </c>
      <c r="K8" s="12">
        <v>5</v>
      </c>
      <c r="L8" s="12">
        <f t="shared" si="1"/>
        <v>30</v>
      </c>
      <c r="M8" s="12">
        <f t="shared" si="1"/>
        <v>35</v>
      </c>
      <c r="N8" s="12">
        <f t="shared" si="1"/>
        <v>40</v>
      </c>
      <c r="O8" s="12">
        <f t="shared" si="1"/>
        <v>45</v>
      </c>
      <c r="P8" s="12">
        <f t="shared" si="1"/>
        <v>50</v>
      </c>
    </row>
    <row r="9" spans="2:20" x14ac:dyDescent="0.3">
      <c r="C9">
        <v>4</v>
      </c>
      <c r="D9">
        <v>5</v>
      </c>
      <c r="E9">
        <v>6</v>
      </c>
    </row>
    <row r="11" spans="2:20" x14ac:dyDescent="0.3">
      <c r="J11" s="4" t="s">
        <v>164</v>
      </c>
      <c r="K11" s="4"/>
      <c r="L11" s="4"/>
      <c r="M11" s="4"/>
    </row>
    <row r="12" spans="2:20" x14ac:dyDescent="0.3">
      <c r="B12" s="4" t="s">
        <v>85</v>
      </c>
      <c r="C12" t="s">
        <v>151</v>
      </c>
      <c r="J12" t="s">
        <v>85</v>
      </c>
      <c r="K12" t="s">
        <v>158</v>
      </c>
      <c r="L12">
        <v>3</v>
      </c>
    </row>
    <row r="13" spans="2:20" x14ac:dyDescent="0.3">
      <c r="K13" t="s">
        <v>159</v>
      </c>
      <c r="L13">
        <v>6</v>
      </c>
    </row>
    <row r="14" spans="2:20" x14ac:dyDescent="0.3">
      <c r="B14" t="s">
        <v>152</v>
      </c>
      <c r="C14">
        <v>1000</v>
      </c>
    </row>
    <row r="15" spans="2:20" x14ac:dyDescent="0.3">
      <c r="B15" t="s">
        <v>153</v>
      </c>
      <c r="C15">
        <v>0.05</v>
      </c>
      <c r="K15" s="4" t="s">
        <v>160</v>
      </c>
      <c r="L15" s="4"/>
      <c r="M15" s="4"/>
      <c r="N15" s="4"/>
      <c r="O15" s="4"/>
      <c r="P15" s="4"/>
      <c r="Q15" s="4"/>
      <c r="R15" s="4"/>
      <c r="S15" s="4"/>
      <c r="T15" s="4"/>
    </row>
    <row r="16" spans="2:20" x14ac:dyDescent="0.3">
      <c r="B16" s="11" t="s">
        <v>154</v>
      </c>
      <c r="C16" s="11" t="s">
        <v>155</v>
      </c>
      <c r="D16" s="11"/>
      <c r="E16" s="11"/>
      <c r="K16" t="s">
        <v>161</v>
      </c>
      <c r="L16">
        <f>convol(rad,L13)</f>
        <v>56.548667764616276</v>
      </c>
    </row>
    <row r="17" spans="2:16" x14ac:dyDescent="0.3">
      <c r="B17">
        <v>0</v>
      </c>
      <c r="C17">
        <f>$C$14*(1+$C$15)^B17</f>
        <v>1000</v>
      </c>
      <c r="E17" s="4">
        <f>$C$14*(1+$C$15)^B17:B25</f>
        <v>1000</v>
      </c>
      <c r="F17" s="9" t="s">
        <v>156</v>
      </c>
    </row>
    <row r="18" spans="2:16" x14ac:dyDescent="0.3">
      <c r="B18">
        <v>1</v>
      </c>
      <c r="C18">
        <f>$C$14*(1+$C$15)^B18</f>
        <v>1050</v>
      </c>
      <c r="E18">
        <f t="shared" ref="E18:E25" si="2">$C$14*(1+$C$15)^B18:B26</f>
        <v>1050</v>
      </c>
    </row>
    <row r="19" spans="2:16" x14ac:dyDescent="0.3">
      <c r="B19">
        <v>2</v>
      </c>
      <c r="C19">
        <f t="shared" ref="C19:C25" si="3">$C$14*(1+$C$15)^B19</f>
        <v>1102.5</v>
      </c>
      <c r="E19">
        <f t="shared" si="2"/>
        <v>1102.5</v>
      </c>
      <c r="J19" t="s">
        <v>162</v>
      </c>
      <c r="K19">
        <v>88</v>
      </c>
      <c r="L19">
        <v>16</v>
      </c>
      <c r="N19" t="s">
        <v>163</v>
      </c>
      <c r="O19">
        <f>range(K19:L25)</f>
        <v>87</v>
      </c>
      <c r="P19" s="4" t="s">
        <v>165</v>
      </c>
    </row>
    <row r="20" spans="2:16" x14ac:dyDescent="0.3">
      <c r="B20">
        <v>3</v>
      </c>
      <c r="C20">
        <f t="shared" si="3"/>
        <v>1157.6250000000002</v>
      </c>
      <c r="E20">
        <f t="shared" si="2"/>
        <v>1157.6250000000002</v>
      </c>
      <c r="K20">
        <v>1</v>
      </c>
      <c r="L20">
        <v>12</v>
      </c>
    </row>
    <row r="21" spans="2:16" x14ac:dyDescent="0.3">
      <c r="B21">
        <v>4</v>
      </c>
      <c r="C21">
        <f t="shared" si="3"/>
        <v>1215.5062499999999</v>
      </c>
      <c r="E21">
        <f t="shared" si="2"/>
        <v>1215.5062499999999</v>
      </c>
      <c r="K21">
        <v>6</v>
      </c>
      <c r="L21">
        <v>18</v>
      </c>
    </row>
    <row r="22" spans="2:16" x14ac:dyDescent="0.3">
      <c r="B22">
        <v>5</v>
      </c>
      <c r="C22">
        <f t="shared" si="3"/>
        <v>1276.2815625000001</v>
      </c>
      <c r="E22">
        <f t="shared" si="2"/>
        <v>1276.2815625000001</v>
      </c>
      <c r="K22">
        <v>5</v>
      </c>
      <c r="L22">
        <v>19</v>
      </c>
    </row>
    <row r="23" spans="2:16" x14ac:dyDescent="0.3">
      <c r="B23">
        <v>6</v>
      </c>
      <c r="C23">
        <f t="shared" si="3"/>
        <v>1340.095640625</v>
      </c>
      <c r="E23">
        <f t="shared" si="2"/>
        <v>1340.095640625</v>
      </c>
      <c r="K23">
        <v>10</v>
      </c>
      <c r="L23">
        <v>1</v>
      </c>
    </row>
    <row r="24" spans="2:16" x14ac:dyDescent="0.3">
      <c r="B24">
        <v>7</v>
      </c>
      <c r="C24">
        <f t="shared" si="3"/>
        <v>1407.1004226562502</v>
      </c>
      <c r="E24">
        <f t="shared" si="2"/>
        <v>1407.1004226562502</v>
      </c>
      <c r="K24">
        <v>6</v>
      </c>
      <c r="L24">
        <v>9</v>
      </c>
    </row>
    <row r="25" spans="2:16" x14ac:dyDescent="0.3">
      <c r="B25">
        <v>8</v>
      </c>
      <c r="C25">
        <f t="shared" si="3"/>
        <v>1477.4554437890627</v>
      </c>
      <c r="E25">
        <f t="shared" si="2"/>
        <v>1477.4554437890627</v>
      </c>
      <c r="K25">
        <v>9</v>
      </c>
      <c r="L25">
        <v>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Sheet1</vt:lpstr>
      <vt:lpstr>Sheet2</vt:lpstr>
      <vt:lpstr>Sheet3</vt:lpstr>
      <vt:lpstr>Sheet5</vt:lpstr>
      <vt:lpstr>Sheet6</vt:lpstr>
      <vt:lpstr>Sheet7</vt:lpstr>
      <vt:lpstr>Sheet8</vt:lpstr>
      <vt:lpstr>rad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Kate</dc:creator>
  <cp:lastModifiedBy>Kate</cp:lastModifiedBy>
  <dcterms:created xsi:type="dcterms:W3CDTF">2022-07-06T14:02:29Z</dcterms:created>
  <dcterms:modified xsi:type="dcterms:W3CDTF">2022-07-07T02:44:23Z</dcterms:modified>
</cp:coreProperties>
</file>