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Kate\OneDrive\Desktop\TTS\Excel\"/>
    </mc:Choice>
  </mc:AlternateContent>
  <bookViews>
    <workbookView xWindow="0" yWindow="0" windowWidth="21268" windowHeight="8474"/>
  </bookViews>
  <sheets>
    <sheet name="Sheet5" sheetId="1" r:id="rId1"/>
    <sheet name="Sheet6" sheetId="2" r:id="rId2"/>
    <sheet name="Sheet7" sheetId="3" r:id="rId3"/>
    <sheet name="Sheet12" sheetId="4" r:id="rId4"/>
  </sheets>
  <definedNames>
    <definedName name="Data">Sheet6!$B$21:$E$26</definedName>
    <definedName name="Hello">Sheet6!#REF!</definedName>
    <definedName name="i">Sheet6!$C$7</definedName>
    <definedName name="j">Sheet6!$7:$7</definedName>
    <definedName name="k">Sheet6!#REF!</definedName>
    <definedName name="n">Sheet6!$C$8</definedName>
    <definedName name="P">Sheet6!$C$6</definedName>
    <definedName name="t">Sheet6!#REF!</definedName>
    <definedName name="w">Sheet6!$C$14</definedName>
    <definedName name="x">Sheet6!$C$15</definedName>
    <definedName name="y">Sheet6!$C$16</definedName>
    <definedName name="z">Sheet6!$C$17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4" l="1"/>
  <c r="C6" i="4"/>
  <c r="D6" i="4"/>
  <c r="C10" i="2"/>
  <c r="D14" i="2"/>
  <c r="D15" i="2"/>
  <c r="D16" i="2"/>
  <c r="D17" i="2"/>
  <c r="E28" i="1"/>
  <c r="F27" i="1" s="1"/>
  <c r="D28" i="1"/>
  <c r="E29" i="1" s="1"/>
  <c r="F28" i="1" s="1"/>
  <c r="D26" i="1"/>
  <c r="E23" i="1"/>
  <c r="E22" i="1"/>
  <c r="D22" i="1"/>
  <c r="D21" i="1"/>
  <c r="C17" i="1"/>
  <c r="C16" i="1"/>
  <c r="C15" i="1"/>
  <c r="C10" i="1"/>
  <c r="C9" i="1"/>
  <c r="C6" i="1"/>
  <c r="C4" i="1"/>
  <c r="E27" i="1" l="1"/>
</calcChain>
</file>

<file path=xl/sharedStrings.xml><?xml version="1.0" encoding="utf-8"?>
<sst xmlns="http://schemas.openxmlformats.org/spreadsheetml/2006/main" count="72" uniqueCount="68">
  <si>
    <t>Cell Referencing Modes</t>
  </si>
  <si>
    <t>Relative Referencing</t>
  </si>
  <si>
    <t>&lt;- In D4, you referenced the cell just left of D4, which is D3</t>
  </si>
  <si>
    <t xml:space="preserve">    This is "relative reference"</t>
  </si>
  <si>
    <t>&lt;- copied the formula in D4 by first writing the formula for D4 and then dragging it down</t>
  </si>
  <si>
    <t>Absolute Referencing</t>
  </si>
  <si>
    <t>&lt;- click C9 and then Fn+F4, and you'll see $ sign appeear… This is "absolute referencing"</t>
  </si>
  <si>
    <t>&lt;- When you drag down, you'll see same as C9 because you applied "absolute referencing"</t>
  </si>
  <si>
    <t>Ex2</t>
  </si>
  <si>
    <t>&lt;- another example of "absolute referencing"</t>
  </si>
  <si>
    <t>&lt;- drag down and see how the "absolute referencing" stays the same</t>
  </si>
  <si>
    <t>Mixed Referencing</t>
  </si>
  <si>
    <t>Ex1</t>
  </si>
  <si>
    <t>&lt;- D21 shows mixed referencing. B$21 means it's always going to be row 21 ("mixed reference"), and $C21 means it's always going to be column C ("mixed reference")</t>
  </si>
  <si>
    <t>&lt;- why doesn't it become 10+13?</t>
  </si>
  <si>
    <t xml:space="preserve">&lt;- $B$26 is a "absolute reference" so it will always remain same, wherever you go. 
$C26 and B$27 are "mixed reference", so it changes when you click other cells, and C27 is "relative reference" </t>
  </si>
  <si>
    <t>monkey</t>
  </si>
  <si>
    <t>human</t>
  </si>
  <si>
    <t>chimpanzee</t>
  </si>
  <si>
    <t>&lt;- Name Manager is in Formulas/ Name Manager</t>
  </si>
  <si>
    <t>lion</t>
  </si>
  <si>
    <t>&lt;- A name (created either in the name box or name manager) can be assigned to a single cell or a range of cells</t>
  </si>
  <si>
    <t>mouse</t>
  </si>
  <si>
    <t>&lt;- you can assign whole chart into name box</t>
  </si>
  <si>
    <t>rabbit</t>
  </si>
  <si>
    <t>efficiency</t>
  </si>
  <si>
    <t>Mass</t>
  </si>
  <si>
    <t>Mammal</t>
  </si>
  <si>
    <t>z</t>
  </si>
  <si>
    <t>y</t>
  </si>
  <si>
    <t>x</t>
  </si>
  <si>
    <t>w</t>
  </si>
  <si>
    <t>Ex2.</t>
  </si>
  <si>
    <t>&lt;- F3 will give me Paste Name Box, which will bring up all the variables used in this workbook</t>
  </si>
  <si>
    <t>&lt;- c and r you CANNOT use as cell value names because it stands for column and row</t>
  </si>
  <si>
    <t>S</t>
  </si>
  <si>
    <t>&lt;- Formulas / Create from Selection/ Click okay, and then it gives me automatically absolute referencing by assigning a variable into name box</t>
  </si>
  <si>
    <t>&lt;- use "name box" to equate C8 with n</t>
  </si>
  <si>
    <t>years</t>
  </si>
  <si>
    <t>n</t>
  </si>
  <si>
    <t>&lt;- use "name box" to equate C7 with i</t>
  </si>
  <si>
    <t>i</t>
  </si>
  <si>
    <t>&lt;- use "name box" to equate C6 with P</t>
  </si>
  <si>
    <t>P</t>
  </si>
  <si>
    <t>Using absolute reference by assigning a variable into name box</t>
  </si>
  <si>
    <t>S= P*(1+i)^n</t>
  </si>
  <si>
    <t>Hello and this is another very long label let's see how to customize it using VBA</t>
  </si>
  <si>
    <t>This is another long text, how can I customize it automatically? Let's do Ctrl, Shift, G, what I applied for the blue letter using Record Macro</t>
  </si>
  <si>
    <t>This is a long statement, what should I do with it?</t>
  </si>
  <si>
    <t>&lt;- Developer tab/ Record Macro / Stop Macro when you're done formatting the cell</t>
  </si>
  <si>
    <t>What if you have a reallly long label, and you want to customize it the way you want?</t>
  </si>
  <si>
    <t>&lt;- click "Use Relative References" in Developer tab, and then "Record Macro"</t>
  </si>
  <si>
    <t>Visual Basic for Application (VBA)</t>
  </si>
  <si>
    <t>MT</t>
  </si>
  <si>
    <t>TX</t>
  </si>
  <si>
    <t>NV</t>
  </si>
  <si>
    <t>ID</t>
  </si>
  <si>
    <t>CA</t>
  </si>
  <si>
    <t>OH</t>
  </si>
  <si>
    <t>NY</t>
  </si>
  <si>
    <t>Population</t>
  </si>
  <si>
    <t>Median Household Income</t>
  </si>
  <si>
    <t>Median gross rent</t>
  </si>
  <si>
    <t>Area</t>
  </si>
  <si>
    <t>State</t>
  </si>
  <si>
    <t>Using Quick analysis to analyze the data given</t>
  </si>
  <si>
    <t>&lt;- all named variables are "absolute reference", so if you click D14 and do =w, and drag down, it'll give me same value as w</t>
  </si>
  <si>
    <t>How to name cells and cell ranges, using Name Box or Name Manager (in Formulas Tab)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</si>
</sst>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&quot;$&quot;#,##0"/>
    <numFmt numFmtId="165" formatCode="&quot;$&quot;#,##0.00"/>
    <numFmt numFmtId="166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3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9" fontId="0" fillId="0" borderId="0" xfId="2" applyFont="1"/>
    <xf numFmtId="0" fontId="3" fillId="0" borderId="0" xfId="0" applyFont="1" applyAlignment="1">
      <alignment wrapText="1"/>
    </xf>
    <xf numFmtId="18" fontId="0" fillId="0" borderId="0" xfId="0" applyNumberFormat="1"/>
    <xf numFmtId="0" fontId="4" fillId="0" borderId="0" xfId="0" applyFont="1" applyAlignment="1">
      <alignment wrapText="1"/>
    </xf>
    <xf numFmtId="0" fontId="0" fillId="3" borderId="0" xfId="0" applyFill="1" applyAlignment="1">
      <alignment wrapText="1"/>
    </xf>
    <xf numFmtId="43" fontId="0" fillId="0" borderId="0" xfId="1" applyFont="1"/>
    <xf numFmtId="164" fontId="0" fillId="0" borderId="0" xfId="1" applyNumberFormat="1" applyFont="1"/>
    <xf numFmtId="165" fontId="0" fillId="0" borderId="0" xfId="0" applyNumberFormat="1"/>
    <xf numFmtId="166" fontId="0" fillId="0" borderId="0" xfId="1" applyNumberFormat="1" applyFont="1"/>
    <xf numFmtId="0" fontId="2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Sheet12!$C$9</c:f>
              <c:strCache>
                <c:ptCount val="1"/>
                <c:pt idx="0">
                  <c:v>Area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explosion val="7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explosion val="5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explosion val="33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Sheet12!$C$10:$C$16</c:f>
              <c:numCache>
                <c:formatCode>_(* #,##0_);_(* \(#,##0\);_(* "-"??_);_(@_)</c:formatCode>
                <c:ptCount val="7"/>
                <c:pt idx="0">
                  <c:v>245320</c:v>
                </c:pt>
                <c:pt idx="1">
                  <c:v>342354</c:v>
                </c:pt>
                <c:pt idx="2">
                  <c:v>242323</c:v>
                </c:pt>
                <c:pt idx="3">
                  <c:v>353232</c:v>
                </c:pt>
                <c:pt idx="4">
                  <c:v>453132</c:v>
                </c:pt>
                <c:pt idx="5">
                  <c:v>654343</c:v>
                </c:pt>
                <c:pt idx="6">
                  <c:v>232445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66426071741033"/>
          <c:y val="0.19486111111111112"/>
          <c:w val="0.84589129483814518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Sheet12!$D$9</c:f>
              <c:strCache>
                <c:ptCount val="1"/>
                <c:pt idx="0">
                  <c:v>Median gross rent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Sheet12!$D$10:$D$16</c:f>
              <c:numCache>
                <c:formatCode>"$"#,##0.00</c:formatCode>
                <c:ptCount val="7"/>
                <c:pt idx="0">
                  <c:v>342</c:v>
                </c:pt>
                <c:pt idx="1">
                  <c:v>454</c:v>
                </c:pt>
                <c:pt idx="2">
                  <c:v>643</c:v>
                </c:pt>
                <c:pt idx="3">
                  <c:v>232</c:v>
                </c:pt>
                <c:pt idx="4">
                  <c:v>565</c:v>
                </c:pt>
                <c:pt idx="5">
                  <c:v>232</c:v>
                </c:pt>
                <c:pt idx="6">
                  <c:v>676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926976"/>
        <c:axId val="451927368"/>
      </c:barChart>
      <c:catAx>
        <c:axId val="45192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927368"/>
        <c:crosses val="autoZero"/>
        <c:auto val="1"/>
        <c:lblAlgn val="ctr"/>
        <c:lblOffset val="100"/>
        <c:noMultiLvlLbl val="0"/>
      </c:catAx>
      <c:valAx>
        <c:axId val="451927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92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7034</xdr:colOff>
      <xdr:row>7</xdr:row>
      <xdr:rowOff>179363</xdr:rowOff>
    </xdr:from>
    <xdr:to>
      <xdr:col>10</xdr:col>
      <xdr:colOff>569742</xdr:colOff>
      <xdr:row>18</xdr:row>
      <xdr:rowOff>42203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615460</xdr:colOff>
      <xdr:row>7</xdr:row>
      <xdr:rowOff>175847</xdr:rowOff>
    </xdr:from>
    <xdr:to>
      <xdr:col>16</xdr:col>
      <xdr:colOff>499403</xdr:colOff>
      <xdr:row>19</xdr:row>
      <xdr:rowOff>66821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F29"/>
  <sheetViews>
    <sheetView tabSelected="1" workbookViewId="0">
      <selection activeCell="G3" sqref="G3"/>
    </sheetView>
  </sheetViews>
  <sheetFormatPr defaultRowHeight="14.4" x14ac:dyDescent="0.3"/>
  <sheetData>
    <row r="2" spans="2:4" x14ac:dyDescent="0.3">
      <c r="B2" s="1" t="s">
        <v>0</v>
      </c>
      <c r="C2" s="1"/>
      <c r="D2" s="1"/>
    </row>
    <row r="3" spans="2:4" x14ac:dyDescent="0.3">
      <c r="B3" s="2" t="s">
        <v>1</v>
      </c>
      <c r="C3" s="2"/>
    </row>
    <row r="4" spans="2:4" x14ac:dyDescent="0.3">
      <c r="B4">
        <v>4.3</v>
      </c>
      <c r="C4">
        <f>B4^3</f>
        <v>79.506999999999991</v>
      </c>
      <c r="D4" t="s">
        <v>2</v>
      </c>
    </row>
    <row r="5" spans="2:4" x14ac:dyDescent="0.3">
      <c r="D5" t="s">
        <v>3</v>
      </c>
    </row>
    <row r="6" spans="2:4" x14ac:dyDescent="0.3">
      <c r="B6">
        <v>-2.5</v>
      </c>
      <c r="C6">
        <f>B6^3</f>
        <v>-15.625</v>
      </c>
      <c r="D6" t="s">
        <v>4</v>
      </c>
    </row>
    <row r="7" spans="2:4" x14ac:dyDescent="0.3">
      <c r="D7" t="s">
        <v>3</v>
      </c>
    </row>
    <row r="8" spans="2:4" x14ac:dyDescent="0.3">
      <c r="B8" s="2" t="s">
        <v>5</v>
      </c>
      <c r="C8" s="2"/>
    </row>
    <row r="9" spans="2:4" x14ac:dyDescent="0.3">
      <c r="B9">
        <v>4.3</v>
      </c>
      <c r="C9">
        <f>B$9^3</f>
        <v>79.506999999999991</v>
      </c>
      <c r="D9" t="s">
        <v>6</v>
      </c>
    </row>
    <row r="10" spans="2:4" x14ac:dyDescent="0.3">
      <c r="B10">
        <v>-2.5</v>
      </c>
      <c r="C10">
        <f>B$9^3</f>
        <v>79.506999999999991</v>
      </c>
      <c r="D10" t="s">
        <v>7</v>
      </c>
    </row>
    <row r="12" spans="2:4" x14ac:dyDescent="0.3">
      <c r="B12" t="s">
        <v>8</v>
      </c>
    </row>
    <row r="13" spans="2:4" x14ac:dyDescent="0.3">
      <c r="B13">
        <v>1</v>
      </c>
    </row>
    <row r="14" spans="2:4" x14ac:dyDescent="0.3">
      <c r="B14">
        <v>2</v>
      </c>
    </row>
    <row r="15" spans="2:4" x14ac:dyDescent="0.3">
      <c r="B15">
        <v>3</v>
      </c>
      <c r="C15">
        <f>B13+$B$14+B15</f>
        <v>6</v>
      </c>
      <c r="D15" t="s">
        <v>9</v>
      </c>
    </row>
    <row r="16" spans="2:4" x14ac:dyDescent="0.3">
      <c r="B16">
        <v>4</v>
      </c>
      <c r="C16">
        <f>B14+$B$14+B16</f>
        <v>8</v>
      </c>
      <c r="D16" t="s">
        <v>10</v>
      </c>
    </row>
    <row r="17" spans="2:6" x14ac:dyDescent="0.3">
      <c r="B17">
        <v>5</v>
      </c>
      <c r="C17">
        <f>B15+$B$14+B17</f>
        <v>10</v>
      </c>
    </row>
    <row r="19" spans="2:6" x14ac:dyDescent="0.3">
      <c r="B19" s="2" t="s">
        <v>11</v>
      </c>
      <c r="C19" s="2"/>
    </row>
    <row r="20" spans="2:6" x14ac:dyDescent="0.3">
      <c r="B20" t="s">
        <v>12</v>
      </c>
    </row>
    <row r="21" spans="2:6" x14ac:dyDescent="0.3">
      <c r="B21">
        <v>10</v>
      </c>
      <c r="C21">
        <v>4</v>
      </c>
      <c r="D21">
        <f>B$21+$C21</f>
        <v>14</v>
      </c>
      <c r="E21" t="s">
        <v>13</v>
      </c>
    </row>
    <row r="22" spans="2:6" x14ac:dyDescent="0.3">
      <c r="B22">
        <v>-7</v>
      </c>
      <c r="C22">
        <v>13</v>
      </c>
      <c r="D22">
        <f>B$21+$C22</f>
        <v>23</v>
      </c>
      <c r="E22">
        <f>C$21+$C22</f>
        <v>17</v>
      </c>
      <c r="F22" t="s">
        <v>14</v>
      </c>
    </row>
    <row r="23" spans="2:6" x14ac:dyDescent="0.3">
      <c r="C23">
        <v>15</v>
      </c>
      <c r="E23">
        <f>C$21+$C23</f>
        <v>19</v>
      </c>
    </row>
    <row r="25" spans="2:6" x14ac:dyDescent="0.3">
      <c r="B25" t="s">
        <v>8</v>
      </c>
    </row>
    <row r="26" spans="2:6" x14ac:dyDescent="0.3">
      <c r="B26">
        <v>-2</v>
      </c>
      <c r="C26">
        <v>7</v>
      </c>
      <c r="D26">
        <f>$B$26+$C26+B$27+C27</f>
        <v>22</v>
      </c>
      <c r="E26" s="3" t="s">
        <v>15</v>
      </c>
    </row>
    <row r="27" spans="2:6" x14ac:dyDescent="0.3">
      <c r="B27">
        <v>6</v>
      </c>
      <c r="C27">
        <v>11</v>
      </c>
      <c r="E27">
        <f>$B$26+$C27+C$27+D28</f>
        <v>42</v>
      </c>
      <c r="F27">
        <f>$B$26+$C27+D$27+E28</f>
        <v>18</v>
      </c>
    </row>
    <row r="28" spans="2:6" x14ac:dyDescent="0.3">
      <c r="D28">
        <f>$B$26+$C26+B$27+C27</f>
        <v>22</v>
      </c>
      <c r="E28">
        <f>$B$26+$C28+C$27+D29</f>
        <v>9</v>
      </c>
      <c r="F28">
        <f>$B$26+$C28+D$27+E29</f>
        <v>40</v>
      </c>
    </row>
    <row r="29" spans="2:6" x14ac:dyDescent="0.3">
      <c r="E29">
        <f>$B$26+$C27+C$27+D28</f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P26"/>
  <sheetViews>
    <sheetView workbookViewId="0">
      <selection activeCell="G23" sqref="G23"/>
    </sheetView>
  </sheetViews>
  <sheetFormatPr defaultRowHeight="14.4" x14ac:dyDescent="0.3"/>
  <cols>
    <col min="2" max="2" width="16" customWidth="1"/>
  </cols>
  <sheetData>
    <row r="2" spans="1:10" x14ac:dyDescent="0.3">
      <c r="B2" s="1" t="s">
        <v>67</v>
      </c>
      <c r="C2" s="1"/>
      <c r="D2" s="1"/>
      <c r="E2" s="1"/>
      <c r="F2" s="1"/>
      <c r="G2" s="1"/>
      <c r="H2" s="1"/>
      <c r="I2" s="1"/>
    </row>
    <row r="4" spans="1:10" x14ac:dyDescent="0.3">
      <c r="B4" t="s">
        <v>45</v>
      </c>
    </row>
    <row r="5" spans="1:10" ht="16.100000000000001" x14ac:dyDescent="0.35">
      <c r="B5" s="14"/>
      <c r="E5" s="2" t="s">
        <v>44</v>
      </c>
      <c r="F5" s="2"/>
      <c r="G5" s="2"/>
      <c r="H5" s="2"/>
      <c r="I5" s="2"/>
      <c r="J5" s="2"/>
    </row>
    <row r="6" spans="1:10" x14ac:dyDescent="0.3">
      <c r="B6" t="s">
        <v>43</v>
      </c>
      <c r="C6">
        <v>200</v>
      </c>
      <c r="E6" t="s">
        <v>42</v>
      </c>
    </row>
    <row r="7" spans="1:10" x14ac:dyDescent="0.3">
      <c r="B7" t="s">
        <v>41</v>
      </c>
      <c r="C7" s="13">
        <v>0.05</v>
      </c>
      <c r="E7" t="s">
        <v>40</v>
      </c>
    </row>
    <row r="8" spans="1:10" x14ac:dyDescent="0.3">
      <c r="B8" t="s">
        <v>39</v>
      </c>
      <c r="C8">
        <v>10</v>
      </c>
      <c r="D8" t="s">
        <v>38</v>
      </c>
      <c r="E8" t="s">
        <v>37</v>
      </c>
    </row>
    <row r="9" spans="1:10" x14ac:dyDescent="0.3">
      <c r="E9" s="2" t="s">
        <v>36</v>
      </c>
    </row>
    <row r="10" spans="1:10" x14ac:dyDescent="0.3">
      <c r="B10" t="s">
        <v>35</v>
      </c>
      <c r="C10">
        <f>P*(1+i)^n</f>
        <v>325.7789253554883</v>
      </c>
    </row>
    <row r="11" spans="1:10" x14ac:dyDescent="0.3">
      <c r="E11" s="2" t="s">
        <v>34</v>
      </c>
    </row>
    <row r="12" spans="1:10" x14ac:dyDescent="0.3">
      <c r="E12" s="2" t="s">
        <v>33</v>
      </c>
    </row>
    <row r="13" spans="1:10" x14ac:dyDescent="0.3">
      <c r="A13" t="s">
        <v>32</v>
      </c>
    </row>
    <row r="14" spans="1:10" x14ac:dyDescent="0.3">
      <c r="B14" t="s">
        <v>31</v>
      </c>
      <c r="C14">
        <v>45</v>
      </c>
      <c r="D14">
        <f>w</f>
        <v>45</v>
      </c>
      <c r="E14" t="s">
        <v>66</v>
      </c>
    </row>
    <row r="15" spans="1:10" x14ac:dyDescent="0.3">
      <c r="B15" t="s">
        <v>30</v>
      </c>
      <c r="C15">
        <v>23</v>
      </c>
      <c r="D15">
        <f>w</f>
        <v>45</v>
      </c>
    </row>
    <row r="16" spans="1:10" x14ac:dyDescent="0.3">
      <c r="B16" t="s">
        <v>29</v>
      </c>
      <c r="C16">
        <v>61</v>
      </c>
      <c r="D16">
        <f>w</f>
        <v>45</v>
      </c>
    </row>
    <row r="17" spans="2:16" x14ac:dyDescent="0.3">
      <c r="B17" t="s">
        <v>28</v>
      </c>
      <c r="C17">
        <v>17</v>
      </c>
      <c r="D17">
        <f>w</f>
        <v>45</v>
      </c>
    </row>
    <row r="20" spans="2:16" ht="14.95" thickBot="1" x14ac:dyDescent="0.35">
      <c r="B20" t="s">
        <v>27</v>
      </c>
      <c r="D20" t="s">
        <v>26</v>
      </c>
      <c r="E20" t="s">
        <v>25</v>
      </c>
    </row>
    <row r="21" spans="2:16" x14ac:dyDescent="0.3">
      <c r="B21" s="12" t="s">
        <v>24</v>
      </c>
      <c r="C21" s="11"/>
      <c r="D21" s="11">
        <v>300</v>
      </c>
      <c r="E21" s="10">
        <v>5</v>
      </c>
      <c r="F21" t="s">
        <v>23</v>
      </c>
    </row>
    <row r="22" spans="2:16" x14ac:dyDescent="0.3">
      <c r="B22" s="9" t="s">
        <v>22</v>
      </c>
      <c r="C22" s="8"/>
      <c r="D22" s="8">
        <v>200</v>
      </c>
      <c r="E22" s="7">
        <v>4</v>
      </c>
      <c r="F22" s="2" t="s">
        <v>21</v>
      </c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2:16" x14ac:dyDescent="0.3">
      <c r="B23" s="9" t="s">
        <v>20</v>
      </c>
      <c r="C23" s="8"/>
      <c r="D23" s="8">
        <v>100</v>
      </c>
      <c r="E23" s="7">
        <v>3</v>
      </c>
      <c r="F23" t="s">
        <v>19</v>
      </c>
    </row>
    <row r="24" spans="2:16" x14ac:dyDescent="0.3">
      <c r="B24" s="9" t="s">
        <v>18</v>
      </c>
      <c r="C24" s="8"/>
      <c r="D24" s="8">
        <v>400</v>
      </c>
      <c r="E24" s="7">
        <v>6</v>
      </c>
    </row>
    <row r="25" spans="2:16" x14ac:dyDescent="0.3">
      <c r="B25" s="9" t="s">
        <v>17</v>
      </c>
      <c r="C25" s="8"/>
      <c r="D25" s="8">
        <v>500</v>
      </c>
      <c r="E25" s="7">
        <v>2</v>
      </c>
    </row>
    <row r="26" spans="2:16" ht="14.95" thickBot="1" x14ac:dyDescent="0.35">
      <c r="B26" s="6" t="s">
        <v>16</v>
      </c>
      <c r="C26" s="5"/>
      <c r="D26" s="5">
        <v>300</v>
      </c>
      <c r="E26" s="4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J32"/>
  <sheetViews>
    <sheetView workbookViewId="0">
      <selection activeCell="G19" sqref="G19"/>
    </sheetView>
  </sheetViews>
  <sheetFormatPr defaultRowHeight="14.4" x14ac:dyDescent="0.3"/>
  <cols>
    <col min="2" max="2" width="24.8984375" customWidth="1"/>
    <col min="4" max="4" width="16.296875" customWidth="1"/>
    <col min="6" max="6" width="29.5" customWidth="1"/>
    <col min="8" max="8" width="10.19921875" bestFit="1" customWidth="1"/>
    <col min="10" max="10" width="15.5" customWidth="1"/>
  </cols>
  <sheetData>
    <row r="2" spans="2:10" x14ac:dyDescent="0.3">
      <c r="B2" s="1" t="s">
        <v>52</v>
      </c>
      <c r="C2" s="1"/>
      <c r="D2" s="1"/>
      <c r="E2" s="1"/>
      <c r="I2" s="15">
        <v>0.29166666666666669</v>
      </c>
    </row>
    <row r="3" spans="2:10" ht="86.4" x14ac:dyDescent="0.3">
      <c r="I3" s="15">
        <v>0.3125</v>
      </c>
      <c r="J3" s="17" t="s">
        <v>51</v>
      </c>
    </row>
    <row r="4" spans="2:10" x14ac:dyDescent="0.3">
      <c r="I4" s="15">
        <v>0.33333333333333331</v>
      </c>
    </row>
    <row r="5" spans="2:10" ht="64.25" x14ac:dyDescent="0.35">
      <c r="B5" s="14" t="s">
        <v>50</v>
      </c>
      <c r="C5" s="2" t="s">
        <v>49</v>
      </c>
      <c r="D5" s="2"/>
      <c r="E5" s="2"/>
      <c r="F5" s="2"/>
      <c r="G5" s="2"/>
      <c r="I5" s="15">
        <v>0.35416666666666702</v>
      </c>
    </row>
    <row r="6" spans="2:10" x14ac:dyDescent="0.3">
      <c r="I6" s="15">
        <v>0.375</v>
      </c>
    </row>
    <row r="7" spans="2:10" ht="66.5" x14ac:dyDescent="0.35">
      <c r="D7" s="16" t="s">
        <v>48</v>
      </c>
      <c r="I7" s="15">
        <v>0.39583333333333398</v>
      </c>
    </row>
    <row r="8" spans="2:10" ht="99.7" x14ac:dyDescent="0.35">
      <c r="F8" s="16" t="s">
        <v>47</v>
      </c>
      <c r="I8" s="15">
        <v>0.41666666666666702</v>
      </c>
    </row>
    <row r="9" spans="2:10" ht="216" x14ac:dyDescent="0.35">
      <c r="G9" s="16" t="s">
        <v>46</v>
      </c>
      <c r="I9" s="15">
        <v>0.4375</v>
      </c>
    </row>
    <row r="10" spans="2:10" x14ac:dyDescent="0.3">
      <c r="I10" s="15">
        <v>0.45833333333333398</v>
      </c>
    </row>
    <row r="11" spans="2:10" x14ac:dyDescent="0.3">
      <c r="I11" s="15">
        <v>0.47916666666666702</v>
      </c>
    </row>
    <row r="12" spans="2:10" x14ac:dyDescent="0.3">
      <c r="I12" s="15">
        <v>0.5</v>
      </c>
    </row>
    <row r="13" spans="2:10" x14ac:dyDescent="0.3">
      <c r="I13" s="15">
        <v>0.52083333333333304</v>
      </c>
    </row>
    <row r="14" spans="2:10" x14ac:dyDescent="0.3">
      <c r="I14" s="15">
        <v>0.54166666666666696</v>
      </c>
    </row>
    <row r="15" spans="2:10" x14ac:dyDescent="0.3">
      <c r="I15" s="15">
        <v>0.5625</v>
      </c>
    </row>
    <row r="16" spans="2:10" x14ac:dyDescent="0.3">
      <c r="I16" s="15">
        <v>0.58333333333333304</v>
      </c>
    </row>
    <row r="17" spans="9:9" x14ac:dyDescent="0.3">
      <c r="I17" s="15">
        <v>0.60416666666666696</v>
      </c>
    </row>
    <row r="18" spans="9:9" x14ac:dyDescent="0.3">
      <c r="I18" s="15">
        <v>0.625</v>
      </c>
    </row>
    <row r="19" spans="9:9" x14ac:dyDescent="0.3">
      <c r="I19" s="15">
        <v>0.64583333333333304</v>
      </c>
    </row>
    <row r="20" spans="9:9" x14ac:dyDescent="0.3">
      <c r="I20" s="15">
        <v>0.66666666666666696</v>
      </c>
    </row>
    <row r="21" spans="9:9" x14ac:dyDescent="0.3">
      <c r="I21" s="15">
        <v>0.6875</v>
      </c>
    </row>
    <row r="22" spans="9:9" x14ac:dyDescent="0.3">
      <c r="I22" s="15">
        <v>0.70833333333333304</v>
      </c>
    </row>
    <row r="23" spans="9:9" x14ac:dyDescent="0.3">
      <c r="I23" s="15">
        <v>0.72916666666666696</v>
      </c>
    </row>
    <row r="24" spans="9:9" x14ac:dyDescent="0.3">
      <c r="I24" s="15">
        <v>0.75</v>
      </c>
    </row>
    <row r="25" spans="9:9" x14ac:dyDescent="0.3">
      <c r="I25" s="15">
        <v>0.77083333333333304</v>
      </c>
    </row>
    <row r="26" spans="9:9" x14ac:dyDescent="0.3">
      <c r="I26" s="15">
        <v>0.79166666666666696</v>
      </c>
    </row>
    <row r="27" spans="9:9" x14ac:dyDescent="0.3">
      <c r="I27" s="15">
        <v>0.8125</v>
      </c>
    </row>
    <row r="28" spans="9:9" x14ac:dyDescent="0.3">
      <c r="I28" s="15">
        <v>0.83333333333333304</v>
      </c>
    </row>
    <row r="29" spans="9:9" x14ac:dyDescent="0.3">
      <c r="I29" s="15">
        <v>0.85416666666666696</v>
      </c>
    </row>
    <row r="30" spans="9:9" x14ac:dyDescent="0.3">
      <c r="I30" s="15">
        <v>0.875</v>
      </c>
    </row>
    <row r="31" spans="9:9" x14ac:dyDescent="0.3">
      <c r="I31" s="15">
        <v>0.89583333333333304</v>
      </c>
    </row>
    <row r="32" spans="9:9" x14ac:dyDescent="0.3">
      <c r="I32" s="15">
        <v>0.91666666666666596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6"/>
  <sheetViews>
    <sheetView workbookViewId="0">
      <selection activeCell="F18" sqref="F18"/>
    </sheetView>
  </sheetViews>
  <sheetFormatPr defaultRowHeight="14.4" x14ac:dyDescent="0.3"/>
  <cols>
    <col min="3" max="3" width="12.59765625" bestFit="1" customWidth="1"/>
    <col min="5" max="5" width="10.09765625" bestFit="1" customWidth="1"/>
    <col min="6" max="6" width="14.69921875" bestFit="1" customWidth="1"/>
  </cols>
  <sheetData>
    <row r="2" spans="1:6" x14ac:dyDescent="0.3">
      <c r="B2" s="2" t="s">
        <v>65</v>
      </c>
      <c r="C2" s="2"/>
      <c r="D2" s="2"/>
      <c r="E2" s="2"/>
    </row>
    <row r="3" spans="1:6" x14ac:dyDescent="0.3">
      <c r="A3" t="s">
        <v>12</v>
      </c>
      <c r="B3">
        <v>19</v>
      </c>
      <c r="C3">
        <v>5</v>
      </c>
      <c r="D3">
        <v>7</v>
      </c>
    </row>
    <row r="4" spans="1:6" x14ac:dyDescent="0.3">
      <c r="B4">
        <v>54</v>
      </c>
      <c r="C4">
        <v>3</v>
      </c>
      <c r="D4">
        <v>4</v>
      </c>
    </row>
    <row r="5" spans="1:6" x14ac:dyDescent="0.3">
      <c r="B5">
        <v>45</v>
      </c>
      <c r="C5">
        <v>34</v>
      </c>
      <c r="D5">
        <v>67</v>
      </c>
    </row>
    <row r="6" spans="1:6" x14ac:dyDescent="0.3">
      <c r="B6" s="22">
        <f>SUM(B3:B5)</f>
        <v>118</v>
      </c>
      <c r="C6" s="22">
        <f>SUM(C3:C5)</f>
        <v>42</v>
      </c>
      <c r="D6" s="22">
        <f>SUM(D3:D5)</f>
        <v>78</v>
      </c>
    </row>
    <row r="7" spans="1:6" x14ac:dyDescent="0.3">
      <c r="B7" s="22"/>
      <c r="C7" s="22"/>
      <c r="D7" s="22"/>
    </row>
    <row r="9" spans="1:6" x14ac:dyDescent="0.3">
      <c r="A9" t="s">
        <v>8</v>
      </c>
      <c r="B9" t="s">
        <v>64</v>
      </c>
      <c r="C9" s="21" t="s">
        <v>63</v>
      </c>
      <c r="D9" s="20" t="s">
        <v>62</v>
      </c>
      <c r="E9" s="19" t="s">
        <v>61</v>
      </c>
      <c r="F9" s="18" t="s">
        <v>60</v>
      </c>
    </row>
    <row r="10" spans="1:6" x14ac:dyDescent="0.3">
      <c r="B10" t="s">
        <v>59</v>
      </c>
      <c r="C10" s="21">
        <v>245320</v>
      </c>
      <c r="D10" s="20">
        <v>342</v>
      </c>
      <c r="E10" s="19">
        <v>78854</v>
      </c>
      <c r="F10" s="18">
        <v>343429890</v>
      </c>
    </row>
    <row r="11" spans="1:6" x14ac:dyDescent="0.3">
      <c r="B11" t="s">
        <v>58</v>
      </c>
      <c r="C11" s="21">
        <v>342354</v>
      </c>
      <c r="D11" s="20">
        <v>454</v>
      </c>
      <c r="E11" s="19">
        <v>67898</v>
      </c>
      <c r="F11" s="18">
        <v>54354353</v>
      </c>
    </row>
    <row r="12" spans="1:6" x14ac:dyDescent="0.3">
      <c r="B12" t="s">
        <v>57</v>
      </c>
      <c r="C12" s="21">
        <v>242323</v>
      </c>
      <c r="D12" s="20">
        <v>643</v>
      </c>
      <c r="E12" s="19">
        <v>67676</v>
      </c>
      <c r="F12" s="18">
        <v>23123123</v>
      </c>
    </row>
    <row r="13" spans="1:6" x14ac:dyDescent="0.3">
      <c r="B13" t="s">
        <v>56</v>
      </c>
      <c r="C13" s="21">
        <v>353232</v>
      </c>
      <c r="D13" s="20">
        <v>232</v>
      </c>
      <c r="E13" s="19">
        <v>78787</v>
      </c>
      <c r="F13" s="18">
        <v>54334543</v>
      </c>
    </row>
    <row r="14" spans="1:6" x14ac:dyDescent="0.3">
      <c r="B14" t="s">
        <v>55</v>
      </c>
      <c r="C14" s="21">
        <v>453132</v>
      </c>
      <c r="D14" s="20">
        <v>565</v>
      </c>
      <c r="E14" s="19">
        <v>67676</v>
      </c>
      <c r="F14" s="18">
        <v>6757567</v>
      </c>
    </row>
    <row r="15" spans="1:6" x14ac:dyDescent="0.3">
      <c r="B15" t="s">
        <v>54</v>
      </c>
      <c r="C15" s="21">
        <v>654343</v>
      </c>
      <c r="D15" s="20">
        <v>232</v>
      </c>
      <c r="E15" s="19">
        <v>65677</v>
      </c>
      <c r="F15" s="18">
        <v>7867876</v>
      </c>
    </row>
    <row r="16" spans="1:6" x14ac:dyDescent="0.3">
      <c r="B16" t="s">
        <v>53</v>
      </c>
      <c r="C16" s="21">
        <v>232445</v>
      </c>
      <c r="D16" s="20">
        <v>676</v>
      </c>
      <c r="E16" s="19">
        <v>68799</v>
      </c>
      <c r="F16" s="18">
        <v>423423432</v>
      </c>
    </row>
  </sheetData>
  <conditionalFormatting sqref="E10:E1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{8F001BFD-199A-41D2-8336-778A21549605}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01BFD-199A-41D2-8336-778A215496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E10:E16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Sheet5</vt:lpstr>
      <vt:lpstr>Sheet6</vt:lpstr>
      <vt:lpstr>Sheet7</vt:lpstr>
      <vt:lpstr>Sheet12</vt:lpstr>
      <vt:lpstr>Data</vt:lpstr>
      <vt:lpstr>i</vt:lpstr>
      <vt:lpstr>j</vt:lpstr>
      <vt:lpstr>n</vt:lpstr>
      <vt:lpstr>P</vt:lpstr>
      <vt:lpstr>w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</dc:creator>
  <cp:lastModifiedBy>Kate</cp:lastModifiedBy>
  <dcterms:created xsi:type="dcterms:W3CDTF">2022-06-28T03:33:59Z</dcterms:created>
  <dcterms:modified xsi:type="dcterms:W3CDTF">2022-06-28T03:39:59Z</dcterms:modified>
</cp:coreProperties>
</file>